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fern\Dropbox\TFM\codigo\Codigo antiguo y pruebas\"/>
    </mc:Choice>
  </mc:AlternateContent>
  <xr:revisionPtr revIDLastSave="0" documentId="8_{6A37FC9C-4D64-4DD3-8553-F54D16A5ADFD}" xr6:coauthVersionLast="36" xr6:coauthVersionMax="36" xr10:uidLastSave="{00000000-0000-0000-0000-000000000000}"/>
  <bookViews>
    <workbookView xWindow="240" yWindow="105" windowWidth="14805" windowHeight="8010" activeTab="1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G20" i="2" l="1"/>
  <c r="AF19" i="2"/>
  <c r="AE18" i="2"/>
  <c r="AD17" i="2"/>
  <c r="AC18" i="2"/>
  <c r="AB17" i="2"/>
  <c r="AC16" i="2"/>
  <c r="AB15" i="2"/>
  <c r="AA13" i="2"/>
  <c r="Z12" i="2"/>
  <c r="AA15" i="2"/>
  <c r="Z14" i="2"/>
  <c r="Y13" i="2"/>
  <c r="X12" i="2"/>
  <c r="W11" i="2"/>
  <c r="V10" i="2"/>
  <c r="U9" i="2"/>
  <c r="T11" i="2"/>
  <c r="S10" i="2"/>
  <c r="R9" i="2"/>
  <c r="T8" i="2"/>
  <c r="S7" i="2"/>
  <c r="R6" i="2"/>
  <c r="N5" i="2"/>
  <c r="M4" i="2"/>
  <c r="L3" i="2"/>
  <c r="K2" i="2"/>
  <c r="G2" i="2"/>
  <c r="Q8" i="2"/>
  <c r="P7" i="2"/>
  <c r="O6" i="2"/>
  <c r="J5" i="2"/>
  <c r="I4" i="2"/>
  <c r="H3" i="2"/>
  <c r="BP21" i="2"/>
  <c r="BO21" i="2"/>
  <c r="BN20" i="2"/>
  <c r="BM20" i="2"/>
  <c r="BL19" i="2"/>
  <c r="BK19" i="2"/>
  <c r="BJ18" i="2"/>
  <c r="BI18" i="2"/>
  <c r="BH17" i="2"/>
  <c r="BG17" i="2"/>
  <c r="BG16" i="2"/>
  <c r="BF16" i="2"/>
  <c r="BE15" i="2"/>
  <c r="BD15" i="2"/>
  <c r="BD14" i="2"/>
  <c r="BC14" i="2"/>
  <c r="BB13" i="2"/>
  <c r="BA13" i="2"/>
  <c r="BA12" i="2"/>
  <c r="AZ12" i="2"/>
  <c r="AY11" i="2"/>
  <c r="AX11" i="2"/>
  <c r="AX10" i="2"/>
  <c r="AW10" i="2"/>
  <c r="AW9" i="2"/>
  <c r="AV9" i="2"/>
  <c r="AU8" i="2"/>
  <c r="AT8" i="2"/>
  <c r="AT7" i="2"/>
  <c r="AS7" i="2"/>
  <c r="AS6" i="2"/>
  <c r="AR6" i="2"/>
  <c r="AQ5" i="2"/>
  <c r="AP5" i="2"/>
  <c r="AP4" i="2"/>
  <c r="AO4" i="2"/>
  <c r="AO3" i="2"/>
  <c r="AN3" i="2"/>
  <c r="AN2" i="2"/>
  <c r="AM2" i="2"/>
  <c r="AE21" i="2"/>
  <c r="AD21" i="2"/>
  <c r="AC20" i="2"/>
  <c r="AB20" i="2"/>
  <c r="AA19" i="2"/>
  <c r="Z19" i="2"/>
  <c r="Y18" i="2"/>
  <c r="X18" i="2"/>
  <c r="W17" i="2"/>
  <c r="V17" i="2"/>
  <c r="V16" i="2"/>
  <c r="U16" i="2"/>
  <c r="T15" i="2"/>
  <c r="S15" i="2"/>
  <c r="S14" i="2"/>
  <c r="R14" i="2"/>
  <c r="Q13" i="2"/>
  <c r="P13" i="2"/>
  <c r="P12" i="2"/>
  <c r="O12" i="2"/>
  <c r="N11" i="2"/>
  <c r="M11" i="2"/>
  <c r="M10" i="2"/>
  <c r="L10" i="2"/>
  <c r="L9" i="2"/>
  <c r="K9" i="2"/>
  <c r="J8" i="2"/>
  <c r="I8" i="2"/>
  <c r="I7" i="2"/>
  <c r="H7" i="2"/>
  <c r="H6" i="2"/>
  <c r="G6" i="2"/>
  <c r="F5" i="2"/>
  <c r="E4" i="2"/>
  <c r="D3" i="2"/>
  <c r="C2" i="2"/>
  <c r="B2" i="2"/>
  <c r="E5" i="2"/>
  <c r="D4" i="2"/>
  <c r="C3" i="2"/>
  <c r="AD26" i="1" l="1"/>
  <c r="Z34" i="1" l="1"/>
  <c r="Y34" i="1"/>
  <c r="AB35" i="1"/>
  <c r="AA35" i="1"/>
  <c r="AG36" i="1"/>
  <c r="AI36" i="1"/>
  <c r="AH36" i="1"/>
  <c r="BS36" i="1" s="1"/>
  <c r="AF36" i="1"/>
  <c r="BQ36" i="1" s="1"/>
  <c r="AE35" i="1"/>
  <c r="AD35" i="1"/>
  <c r="AD34" i="1"/>
  <c r="AC34" i="1"/>
  <c r="AB33" i="1"/>
  <c r="AA32" i="1"/>
  <c r="Z33" i="1"/>
  <c r="Y32" i="1"/>
  <c r="X33" i="1"/>
  <c r="W33" i="1"/>
  <c r="W32" i="1"/>
  <c r="V32" i="1"/>
  <c r="AB28" i="1"/>
  <c r="AA27" i="1"/>
  <c r="Z26" i="1"/>
  <c r="Y25" i="1"/>
  <c r="X24" i="1"/>
  <c r="W23" i="1"/>
  <c r="AI28" i="1"/>
  <c r="BT28" i="1" s="1"/>
  <c r="AH26" i="1"/>
  <c r="AG24" i="1"/>
  <c r="AF23" i="1"/>
  <c r="AI27" i="1"/>
  <c r="AH25" i="1"/>
  <c r="AG23" i="1"/>
  <c r="AF22" i="1"/>
  <c r="R18" i="1"/>
  <c r="AE17" i="1"/>
  <c r="AD15" i="1"/>
  <c r="AC13" i="1"/>
  <c r="AB11" i="1"/>
  <c r="AA10" i="1"/>
  <c r="Z8" i="1"/>
  <c r="Y7" i="1"/>
  <c r="BJ7" i="1"/>
  <c r="K10" i="1"/>
  <c r="AG35" i="1"/>
  <c r="AF35" i="1"/>
  <c r="AG34" i="1"/>
  <c r="AF34" i="1"/>
  <c r="AI33" i="1"/>
  <c r="AH32" i="1"/>
  <c r="AF33" i="1"/>
  <c r="AG32" i="1"/>
  <c r="AI35" i="1"/>
  <c r="BT35" i="1" s="1"/>
  <c r="AH34" i="1"/>
  <c r="BS34" i="1" s="1"/>
  <c r="AG33" i="1"/>
  <c r="BR33" i="1" s="1"/>
  <c r="AF32" i="1"/>
  <c r="BQ32" i="1" s="1"/>
  <c r="AJ36" i="1"/>
  <c r="BU36" i="1" s="1"/>
  <c r="AJ35" i="1"/>
  <c r="BU35" i="1" s="1"/>
  <c r="AJ34" i="1"/>
  <c r="BU34" i="1" s="1"/>
  <c r="AJ33" i="1"/>
  <c r="AJ32" i="1"/>
  <c r="BU32" i="1" s="1"/>
  <c r="AI31" i="1"/>
  <c r="AH30" i="1"/>
  <c r="AI30" i="1"/>
  <c r="AH29" i="1"/>
  <c r="AG28" i="1"/>
  <c r="AF27" i="1"/>
  <c r="AG26" i="1"/>
  <c r="AF25" i="1"/>
  <c r="BL32" i="1"/>
  <c r="BG32" i="1"/>
  <c r="BU3" i="1"/>
  <c r="BU4" i="1"/>
  <c r="BU5" i="1"/>
  <c r="BU6" i="1"/>
  <c r="BU7" i="1"/>
  <c r="BU8" i="1"/>
  <c r="BU9" i="1"/>
  <c r="BU10" i="1"/>
  <c r="BU11" i="1"/>
  <c r="BU12" i="1"/>
  <c r="BU13" i="1"/>
  <c r="BU14" i="1"/>
  <c r="BU15" i="1"/>
  <c r="BU16" i="1"/>
  <c r="BU17" i="1"/>
  <c r="BU18" i="1"/>
  <c r="BU19" i="1"/>
  <c r="BU20" i="1"/>
  <c r="BU21" i="1"/>
  <c r="BU22" i="1"/>
  <c r="BU23" i="1"/>
  <c r="BU24" i="1"/>
  <c r="BU25" i="1"/>
  <c r="BU26" i="1"/>
  <c r="BU27" i="1"/>
  <c r="BU28" i="1"/>
  <c r="BU29" i="1"/>
  <c r="BU30" i="1"/>
  <c r="BU31" i="1"/>
  <c r="BU33" i="1"/>
  <c r="BT3" i="1"/>
  <c r="BT4" i="1"/>
  <c r="BT5" i="1"/>
  <c r="BT6" i="1"/>
  <c r="BT7" i="1"/>
  <c r="BT8" i="1"/>
  <c r="BT9" i="1"/>
  <c r="BT10" i="1"/>
  <c r="BT11" i="1"/>
  <c r="BT12" i="1"/>
  <c r="BT13" i="1"/>
  <c r="BT14" i="1"/>
  <c r="BT15" i="1"/>
  <c r="BT16" i="1"/>
  <c r="BT17" i="1"/>
  <c r="BT18" i="1"/>
  <c r="BT19" i="1"/>
  <c r="BT20" i="1"/>
  <c r="BT21" i="1"/>
  <c r="BT22" i="1"/>
  <c r="BT23" i="1"/>
  <c r="BT24" i="1"/>
  <c r="BT25" i="1"/>
  <c r="BT26" i="1"/>
  <c r="BT27" i="1"/>
  <c r="BT29" i="1"/>
  <c r="BT30" i="1"/>
  <c r="BT31" i="1"/>
  <c r="BT32" i="1"/>
  <c r="BT33" i="1"/>
  <c r="BT34" i="1"/>
  <c r="BT36" i="1"/>
  <c r="BS3" i="1"/>
  <c r="BS4" i="1"/>
  <c r="BS5" i="1"/>
  <c r="BS6" i="1"/>
  <c r="BS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5" i="1"/>
  <c r="BR3" i="1"/>
  <c r="BR4" i="1"/>
  <c r="BR5" i="1"/>
  <c r="BR6" i="1"/>
  <c r="BR7" i="1"/>
  <c r="BR8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2" i="1"/>
  <c r="BR34" i="1"/>
  <c r="BR35" i="1"/>
  <c r="BR36" i="1"/>
  <c r="BQ3" i="1"/>
  <c r="BQ4" i="1"/>
  <c r="BQ5" i="1"/>
  <c r="BQ6" i="1"/>
  <c r="BQ7" i="1"/>
  <c r="BQ8" i="1"/>
  <c r="BQ9" i="1"/>
  <c r="BQ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3" i="1"/>
  <c r="BQ34" i="1"/>
  <c r="BQ35" i="1"/>
  <c r="BP3" i="1"/>
  <c r="BP4" i="1"/>
  <c r="BP5" i="1"/>
  <c r="BP6" i="1"/>
  <c r="BP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2" i="1"/>
  <c r="BP33" i="1"/>
  <c r="BP34" i="1"/>
  <c r="BP35" i="1"/>
  <c r="BP36" i="1"/>
  <c r="BO3" i="1"/>
  <c r="BO4" i="1"/>
  <c r="BO5" i="1"/>
  <c r="BO6" i="1"/>
  <c r="BO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1" i="1"/>
  <c r="BO32" i="1"/>
  <c r="BO33" i="1"/>
  <c r="BO34" i="1"/>
  <c r="BO35" i="1"/>
  <c r="BO36" i="1"/>
  <c r="BN3" i="1"/>
  <c r="BN4" i="1"/>
  <c r="BN5" i="1"/>
  <c r="BN6" i="1"/>
  <c r="BN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30" i="1"/>
  <c r="BN31" i="1"/>
  <c r="BN32" i="1"/>
  <c r="BN33" i="1"/>
  <c r="BN34" i="1"/>
  <c r="BN35" i="1"/>
  <c r="BN36" i="1"/>
  <c r="BM3" i="1"/>
  <c r="BM4" i="1"/>
  <c r="BM5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9" i="1"/>
  <c r="BM30" i="1"/>
  <c r="BM31" i="1"/>
  <c r="BM32" i="1"/>
  <c r="BM33" i="1"/>
  <c r="BM34" i="1"/>
  <c r="BM35" i="1"/>
  <c r="BM36" i="1"/>
  <c r="BL3" i="1"/>
  <c r="BL4" i="1"/>
  <c r="BL5" i="1"/>
  <c r="BL6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8" i="1"/>
  <c r="BL29" i="1"/>
  <c r="BL30" i="1"/>
  <c r="BL31" i="1"/>
  <c r="BL33" i="1"/>
  <c r="BL34" i="1"/>
  <c r="BL35" i="1"/>
  <c r="BL36" i="1"/>
  <c r="BK3" i="1"/>
  <c r="BK4" i="1"/>
  <c r="BK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7" i="1"/>
  <c r="BK28" i="1"/>
  <c r="BK29" i="1"/>
  <c r="BK30" i="1"/>
  <c r="BK31" i="1"/>
  <c r="BK32" i="1"/>
  <c r="BK33" i="1"/>
  <c r="BK34" i="1"/>
  <c r="BK35" i="1"/>
  <c r="BK36" i="1"/>
  <c r="BJ3" i="1"/>
  <c r="BJ4" i="1"/>
  <c r="BJ5" i="1"/>
  <c r="BJ6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6" i="1"/>
  <c r="BJ27" i="1"/>
  <c r="BJ28" i="1"/>
  <c r="BJ29" i="1"/>
  <c r="BJ30" i="1"/>
  <c r="BJ31" i="1"/>
  <c r="BJ32" i="1"/>
  <c r="BJ33" i="1"/>
  <c r="BJ34" i="1"/>
  <c r="BJ35" i="1"/>
  <c r="BJ36" i="1"/>
  <c r="BI3" i="1"/>
  <c r="BI4" i="1"/>
  <c r="BI5" i="1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H3" i="1"/>
  <c r="BH4" i="1"/>
  <c r="BH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G36" i="1"/>
  <c r="BG3" i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3" i="1"/>
  <c r="BG24" i="1"/>
  <c r="BG25" i="1"/>
  <c r="BG26" i="1"/>
  <c r="BG27" i="1"/>
  <c r="BG28" i="1"/>
  <c r="BG29" i="1"/>
  <c r="BG30" i="1"/>
  <c r="BG31" i="1"/>
  <c r="BG33" i="1"/>
  <c r="BG34" i="1"/>
  <c r="BG35" i="1"/>
  <c r="BF3" i="1"/>
  <c r="BF4" i="1"/>
  <c r="BF5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E3" i="1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D3" i="1"/>
  <c r="BD4" i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C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B3" i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A3" i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AZ3" i="1"/>
  <c r="AZ4" i="1"/>
  <c r="AZ5" i="1"/>
  <c r="AZ6" i="1"/>
  <c r="AZ7" i="1"/>
  <c r="AZ8" i="1"/>
  <c r="AZ9" i="1"/>
  <c r="AZ10" i="1"/>
  <c r="AZ11" i="1"/>
  <c r="AZ12" i="1"/>
  <c r="AZ13" i="1"/>
  <c r="AZ14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Y3" i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X3" i="1"/>
  <c r="AX4" i="1"/>
  <c r="AX5" i="1"/>
  <c r="AX6" i="1"/>
  <c r="AX7" i="1"/>
  <c r="AX8" i="1"/>
  <c r="AX9" i="1"/>
  <c r="AX10" i="1"/>
  <c r="AX11" i="1"/>
  <c r="AX12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W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V3" i="1"/>
  <c r="AV4" i="1"/>
  <c r="AV5" i="1"/>
  <c r="AV6" i="1"/>
  <c r="AV7" i="1"/>
  <c r="AV8" i="1"/>
  <c r="AV9" i="1"/>
  <c r="AV10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U36" i="1"/>
  <c r="AU3" i="1"/>
  <c r="AU4" i="1"/>
  <c r="AU5" i="1"/>
  <c r="AU6" i="1"/>
  <c r="AU7" i="1"/>
  <c r="AU8" i="1"/>
  <c r="AU9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S3" i="1"/>
  <c r="AS4" i="1"/>
  <c r="AS5" i="1"/>
  <c r="AS6" i="1"/>
  <c r="AS7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R3" i="1"/>
  <c r="AR4" i="1"/>
  <c r="AR5" i="1"/>
  <c r="AR6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N2" i="1"/>
  <c r="AO2" i="1"/>
  <c r="AP2" i="1"/>
  <c r="AQ2" i="1"/>
  <c r="AR2" i="1"/>
  <c r="AS2" i="1"/>
  <c r="AT2" i="1"/>
  <c r="AU2" i="1"/>
  <c r="AV2" i="1"/>
  <c r="AW2" i="1"/>
  <c r="AX2" i="1"/>
  <c r="AY2" i="1"/>
  <c r="AM2" i="1"/>
  <c r="AB31" i="1"/>
  <c r="AA31" i="1"/>
  <c r="Z30" i="1"/>
  <c r="Y30" i="1"/>
  <c r="AA30" i="1"/>
  <c r="AB30" i="1"/>
  <c r="Z29" i="1"/>
  <c r="Y29" i="1"/>
  <c r="X28" i="1"/>
  <c r="W28" i="1"/>
  <c r="W27" i="1"/>
  <c r="V27" i="1"/>
  <c r="BL27" i="1" s="1"/>
  <c r="AC29" i="1"/>
  <c r="BN29" i="1" s="1"/>
  <c r="X26" i="1"/>
  <c r="W26" i="1"/>
  <c r="W25" i="1"/>
  <c r="V25" i="1"/>
  <c r="AE28" i="1"/>
  <c r="AD27" i="1"/>
  <c r="AC25" i="1"/>
  <c r="AB24" i="1"/>
  <c r="AA23" i="1"/>
  <c r="Z23" i="1"/>
  <c r="Y22" i="1"/>
  <c r="V22" i="1" s="1"/>
  <c r="BG22" i="1" s="1"/>
  <c r="AE31" i="1"/>
  <c r="BP31" i="1" s="1"/>
  <c r="AD30" i="1"/>
  <c r="BO30" i="1" s="1"/>
  <c r="AA28" i="1"/>
  <c r="AB27" i="1"/>
  <c r="BJ25" i="1"/>
  <c r="Y26" i="1"/>
  <c r="Z25" i="1"/>
  <c r="BI24" i="1"/>
  <c r="W24" i="1"/>
  <c r="V23" i="1"/>
  <c r="X23" i="1"/>
  <c r="W22" i="1"/>
  <c r="B2" i="1"/>
  <c r="AC18" i="1"/>
  <c r="AE21" i="1"/>
  <c r="AD20" i="1"/>
  <c r="AC19" i="1"/>
  <c r="AE20" i="1"/>
  <c r="AD19" i="1"/>
  <c r="AB17" i="1"/>
  <c r="AA16" i="1"/>
  <c r="Z15" i="1"/>
  <c r="Y14" i="1"/>
  <c r="AB15" i="1"/>
  <c r="AA14" i="1"/>
  <c r="Z13" i="1"/>
  <c r="Y12" i="1"/>
  <c r="X11" i="1"/>
  <c r="W10" i="1"/>
  <c r="V9" i="1"/>
  <c r="X8" i="1"/>
  <c r="W7" i="1"/>
  <c r="V6" i="1"/>
  <c r="AE16" i="1"/>
  <c r="AD14" i="1"/>
  <c r="AC12" i="1"/>
  <c r="AB10" i="1"/>
  <c r="AA9" i="1"/>
  <c r="Z7" i="1"/>
  <c r="Y6" i="1"/>
  <c r="X5" i="1"/>
  <c r="W4" i="1"/>
  <c r="X4" i="1"/>
  <c r="V2" i="1"/>
  <c r="W3" i="1"/>
  <c r="V3" i="1"/>
  <c r="U31" i="1"/>
  <c r="T30" i="1"/>
  <c r="S29" i="1"/>
  <c r="Q28" i="1"/>
  <c r="P27" i="1"/>
  <c r="O26" i="1"/>
  <c r="N25" i="1"/>
  <c r="T31" i="1"/>
  <c r="S30" i="1"/>
  <c r="R29" i="1"/>
  <c r="O28" i="1"/>
  <c r="N27" i="1"/>
  <c r="M26" i="1"/>
  <c r="L25" i="1"/>
  <c r="K24" i="1"/>
  <c r="J23" i="1"/>
  <c r="I22" i="1"/>
  <c r="H24" i="1"/>
  <c r="G23" i="1"/>
  <c r="F22" i="1"/>
  <c r="M29" i="1"/>
  <c r="Q31" i="1"/>
  <c r="P31" i="1"/>
  <c r="O30" i="1"/>
  <c r="N30" i="1"/>
  <c r="L29" i="1"/>
  <c r="K28" i="1"/>
  <c r="J28" i="1"/>
  <c r="J27" i="1"/>
  <c r="I27" i="1"/>
  <c r="H26" i="1"/>
  <c r="G26" i="1"/>
  <c r="G25" i="1"/>
  <c r="F25" i="1"/>
  <c r="E24" i="1"/>
  <c r="D23" i="1"/>
  <c r="D24" i="1"/>
  <c r="C23" i="1"/>
  <c r="C22" i="1"/>
  <c r="B22" i="1"/>
  <c r="U21" i="1"/>
  <c r="T20" i="1"/>
  <c r="S19" i="1"/>
  <c r="Q21" i="1"/>
  <c r="O20" i="1"/>
  <c r="N20" i="1"/>
  <c r="P21" i="1"/>
  <c r="L19" i="1"/>
  <c r="M19" i="1"/>
  <c r="Q20" i="1"/>
  <c r="P20" i="1"/>
  <c r="O19" i="1"/>
  <c r="N19" i="1"/>
  <c r="M18" i="1"/>
  <c r="L18" i="1"/>
  <c r="BM28" i="1" l="1"/>
  <c r="BH23" i="1"/>
  <c r="Q17" i="1"/>
  <c r="BB17" i="1" s="1"/>
  <c r="P16" i="1"/>
  <c r="O15" i="1"/>
  <c r="AZ15" i="1" s="1"/>
  <c r="N14" i="1"/>
  <c r="M13" i="1"/>
  <c r="AX13" i="1" s="1"/>
  <c r="L12" i="1"/>
  <c r="K11" i="1"/>
  <c r="AV11" i="1" s="1"/>
  <c r="J10" i="1"/>
  <c r="AU10" i="1" s="1"/>
  <c r="I9" i="1"/>
  <c r="H8" i="1"/>
  <c r="AS8" i="1" s="1"/>
  <c r="G7" i="1"/>
  <c r="AR7" i="1" s="1"/>
  <c r="F6" i="1"/>
  <c r="E5" i="1"/>
  <c r="D4" i="1"/>
  <c r="C3" i="1"/>
  <c r="K17" i="1"/>
  <c r="J17" i="1"/>
  <c r="J16" i="1"/>
  <c r="I16" i="1"/>
  <c r="H15" i="1"/>
  <c r="G15" i="1"/>
  <c r="G14" i="1"/>
  <c r="F14" i="1"/>
  <c r="K15" i="1"/>
  <c r="J15" i="1"/>
  <c r="J14" i="1"/>
  <c r="I14" i="1"/>
  <c r="H13" i="1"/>
  <c r="G13" i="1"/>
  <c r="G12" i="1"/>
  <c r="F12" i="1"/>
  <c r="E11" i="1"/>
  <c r="D10" i="1"/>
  <c r="D11" i="1"/>
  <c r="C10" i="1"/>
  <c r="C9" i="1"/>
  <c r="B9" i="1"/>
  <c r="E8" i="1"/>
  <c r="D7" i="1"/>
  <c r="D8" i="1"/>
  <c r="C7" i="1"/>
  <c r="C6" i="1"/>
  <c r="B6" i="1"/>
  <c r="U17" i="1"/>
  <c r="T15" i="1"/>
  <c r="S13" i="1"/>
  <c r="P10" i="1"/>
  <c r="Q11" i="1"/>
  <c r="O8" i="1"/>
  <c r="N7" i="1"/>
  <c r="K5" i="1"/>
  <c r="J4" i="1"/>
  <c r="I3" i="1"/>
  <c r="T16" i="1"/>
  <c r="S14" i="1"/>
  <c r="R12" i="1"/>
  <c r="O10" i="1"/>
  <c r="N9" i="1"/>
  <c r="M7" i="1" l="1"/>
  <c r="L6" i="1"/>
  <c r="F2" i="1"/>
  <c r="H4" i="1"/>
  <c r="G3" i="1"/>
  <c r="P17" i="1"/>
  <c r="Q16" i="1"/>
  <c r="N15" i="1"/>
  <c r="O14" i="1"/>
  <c r="L13" i="1"/>
  <c r="M12" i="1"/>
  <c r="J11" i="1"/>
  <c r="I10" i="1"/>
  <c r="J9" i="1"/>
  <c r="G8" i="1"/>
  <c r="F7" i="1"/>
  <c r="H7" i="1"/>
  <c r="G6" i="1"/>
  <c r="D5" i="1"/>
  <c r="C4" i="1"/>
  <c r="B3" i="1"/>
  <c r="E4" i="1"/>
  <c r="D3" i="1"/>
  <c r="C2" i="1"/>
  <c r="BK26" i="1"/>
</calcChain>
</file>

<file path=xl/sharedStrings.xml><?xml version="1.0" encoding="utf-8"?>
<sst xmlns="http://schemas.openxmlformats.org/spreadsheetml/2006/main" count="295" uniqueCount="70">
  <si>
    <t>10003</t>
  </si>
  <si>
    <t>10012</t>
  </si>
  <si>
    <t>10021</t>
  </si>
  <si>
    <t>10030</t>
  </si>
  <si>
    <t>10102</t>
  </si>
  <si>
    <t>10111</t>
  </si>
  <si>
    <t>10120</t>
  </si>
  <si>
    <t>11002</t>
  </si>
  <si>
    <t>11011</t>
  </si>
  <si>
    <t>11020</t>
  </si>
  <si>
    <t>10201</t>
  </si>
  <si>
    <t>10210</t>
  </si>
  <si>
    <t>11101</t>
  </si>
  <si>
    <t>11110</t>
  </si>
  <si>
    <t>12001</t>
  </si>
  <si>
    <t>12010</t>
  </si>
  <si>
    <t>10300</t>
  </si>
  <si>
    <t>11200</t>
  </si>
  <si>
    <t>12100</t>
  </si>
  <si>
    <t>13000</t>
  </si>
  <si>
    <t>20002</t>
  </si>
  <si>
    <t>20011</t>
  </si>
  <si>
    <t>20020</t>
  </si>
  <si>
    <t>20101</t>
  </si>
  <si>
    <t>20110</t>
  </si>
  <si>
    <t>21001</t>
  </si>
  <si>
    <t>21010</t>
  </si>
  <si>
    <t>20200</t>
  </si>
  <si>
    <t>21100</t>
  </si>
  <si>
    <t>22000</t>
  </si>
  <si>
    <t>30001</t>
  </si>
  <si>
    <t>30010</t>
  </si>
  <si>
    <t>30100</t>
  </si>
  <si>
    <t>31000</t>
  </si>
  <si>
    <t>40000</t>
  </si>
  <si>
    <t>00004</t>
  </si>
  <si>
    <t>00013</t>
  </si>
  <si>
    <t>00022</t>
  </si>
  <si>
    <t>00031</t>
  </si>
  <si>
    <t>00040</t>
  </si>
  <si>
    <t>00103</t>
  </si>
  <si>
    <t>00112</t>
  </si>
  <si>
    <t>00121</t>
  </si>
  <si>
    <t>00130</t>
  </si>
  <si>
    <t>01003</t>
  </si>
  <si>
    <t>01012</t>
  </si>
  <si>
    <t>01021</t>
  </si>
  <si>
    <t>01030</t>
  </si>
  <si>
    <t>00202</t>
  </si>
  <si>
    <t>00211</t>
  </si>
  <si>
    <t>00220</t>
  </si>
  <si>
    <t>01102</t>
  </si>
  <si>
    <t>01111</t>
  </si>
  <si>
    <t>01120</t>
  </si>
  <si>
    <t>02002</t>
  </si>
  <si>
    <t>02011</t>
  </si>
  <si>
    <t>02020</t>
  </si>
  <si>
    <t>00301</t>
  </si>
  <si>
    <t>00310</t>
  </si>
  <si>
    <t>01201</t>
  </si>
  <si>
    <t>01210</t>
  </si>
  <si>
    <t>02101</t>
  </si>
  <si>
    <t>02110</t>
  </si>
  <si>
    <t>03001</t>
  </si>
  <si>
    <t>03010</t>
  </si>
  <si>
    <t>00400</t>
  </si>
  <si>
    <t>01300</t>
  </si>
  <si>
    <t>02200</t>
  </si>
  <si>
    <t>03100</t>
  </si>
  <si>
    <t>04000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</si>
</sst>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3" borderId="0" xfId="0" applyFill="1"/>
    <xf numFmtId="0" fontId="0" fillId="5" borderId="0" xfId="0" applyFill="1"/>
    <xf numFmtId="0" fontId="0" fillId="0" borderId="1" xfId="0" applyBorder="1"/>
    <xf numFmtId="0" fontId="0" fillId="3" borderId="1" xfId="0" applyFill="1" applyBorder="1"/>
    <xf numFmtId="0" fontId="0" fillId="5" borderId="1" xfId="0" applyFill="1" applyBorder="1"/>
    <xf numFmtId="0" fontId="0" fillId="4" borderId="1" xfId="0" applyFill="1" applyBorder="1"/>
    <xf numFmtId="0" fontId="2" fillId="3" borderId="1" xfId="0" applyFont="1" applyFill="1" applyBorder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/>
    <xf numFmtId="0" fontId="0" fillId="6" borderId="1" xfId="0" applyFill="1" applyBorder="1"/>
    <xf numFmtId="0" fontId="0" fillId="6" borderId="0" xfId="0" applyFill="1"/>
    <xf numFmtId="0" fontId="0" fillId="0" borderId="0" xfId="0" applyFill="1"/>
    <xf numFmtId="49" fontId="0" fillId="0" borderId="0" xfId="0" applyNumberFormat="1"/>
    <xf numFmtId="0" fontId="0" fillId="2" borderId="1" xfId="0" applyFill="1" applyBorder="1"/>
    <xf numFmtId="49" fontId="0" fillId="2" borderId="1" xfId="0" applyNumberFormat="1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76"/>
  <sheetViews>
    <sheetView topLeftCell="A34" zoomScale="40" zoomScaleNormal="40" workbookViewId="0">
      <selection activeCell="AB23" sqref="AB23"/>
    </sheetView>
  </sheetViews>
  <sheetFormatPr baseColWidth="10" defaultColWidth="9.140625" defaultRowHeight="15" x14ac:dyDescent="0.25"/>
  <cols>
    <col min="2" max="2" width="12" bestFit="1" customWidth="1"/>
    <col min="3" max="3" width="10.5703125" customWidth="1"/>
    <col min="8" max="8" width="11.85546875" bestFit="1" customWidth="1"/>
    <col min="13" max="13" width="15.140625" bestFit="1" customWidth="1"/>
  </cols>
  <sheetData>
    <row r="1" spans="1:74" x14ac:dyDescent="0.25">
      <c r="A1" s="3"/>
      <c r="B1" s="9">
        <v>10003</v>
      </c>
      <c r="C1" s="9">
        <v>10012</v>
      </c>
      <c r="D1" s="9">
        <v>10021</v>
      </c>
      <c r="E1" s="9">
        <v>10030</v>
      </c>
      <c r="F1" s="9">
        <v>10102</v>
      </c>
      <c r="G1" s="9">
        <v>10111</v>
      </c>
      <c r="H1" s="9">
        <v>10120</v>
      </c>
      <c r="I1" s="9">
        <v>11002</v>
      </c>
      <c r="J1" s="9">
        <v>11011</v>
      </c>
      <c r="K1" s="9">
        <v>11020</v>
      </c>
      <c r="L1" s="9">
        <v>10201</v>
      </c>
      <c r="M1" s="9">
        <v>10210</v>
      </c>
      <c r="N1" s="9">
        <v>11101</v>
      </c>
      <c r="O1" s="9">
        <v>11110</v>
      </c>
      <c r="P1" s="9">
        <v>12001</v>
      </c>
      <c r="Q1" s="9">
        <v>12010</v>
      </c>
      <c r="R1" s="9">
        <v>10300</v>
      </c>
      <c r="S1" s="9">
        <v>11200</v>
      </c>
      <c r="T1" s="9">
        <v>12100</v>
      </c>
      <c r="U1" s="9">
        <v>13000</v>
      </c>
      <c r="V1" s="9">
        <v>20002</v>
      </c>
      <c r="W1" s="9">
        <v>20011</v>
      </c>
      <c r="X1" s="9">
        <v>20020</v>
      </c>
      <c r="Y1" s="9">
        <v>20101</v>
      </c>
      <c r="Z1" s="9">
        <v>20110</v>
      </c>
      <c r="AA1" s="9">
        <v>21001</v>
      </c>
      <c r="AB1" s="9">
        <v>21010</v>
      </c>
      <c r="AC1" s="9">
        <v>20200</v>
      </c>
      <c r="AD1" s="9">
        <v>21100</v>
      </c>
      <c r="AE1" s="9">
        <v>22000</v>
      </c>
      <c r="AF1" s="9">
        <v>30001</v>
      </c>
      <c r="AG1" s="9">
        <v>30010</v>
      </c>
      <c r="AH1" s="9">
        <v>30100</v>
      </c>
      <c r="AI1" s="9">
        <v>31000</v>
      </c>
      <c r="AJ1" s="9">
        <v>40000</v>
      </c>
      <c r="AK1" s="3"/>
      <c r="AM1" s="9">
        <v>10003</v>
      </c>
      <c r="AN1" s="9">
        <v>10012</v>
      </c>
      <c r="AO1" s="9">
        <v>10021</v>
      </c>
      <c r="AP1" s="9">
        <v>10030</v>
      </c>
      <c r="AQ1" s="9">
        <v>10102</v>
      </c>
      <c r="AR1" s="9">
        <v>10111</v>
      </c>
      <c r="AS1" s="9">
        <v>10120</v>
      </c>
      <c r="AT1" s="9">
        <v>11002</v>
      </c>
      <c r="AU1" s="9">
        <v>11011</v>
      </c>
      <c r="AV1" s="9">
        <v>11020</v>
      </c>
      <c r="AW1" s="9">
        <v>10201</v>
      </c>
      <c r="AX1" s="9">
        <v>10210</v>
      </c>
      <c r="AY1" s="9">
        <v>11101</v>
      </c>
      <c r="AZ1" s="9">
        <v>11110</v>
      </c>
      <c r="BA1" s="9">
        <v>12001</v>
      </c>
      <c r="BB1" s="9">
        <v>12010</v>
      </c>
      <c r="BC1" s="9">
        <v>10300</v>
      </c>
      <c r="BD1" s="9">
        <v>11200</v>
      </c>
      <c r="BE1" s="9">
        <v>12100</v>
      </c>
      <c r="BF1" s="9">
        <v>13000</v>
      </c>
      <c r="BG1" s="9">
        <v>20002</v>
      </c>
      <c r="BH1" s="9">
        <v>20011</v>
      </c>
      <c r="BI1" s="9">
        <v>20020</v>
      </c>
      <c r="BJ1" s="9">
        <v>20101</v>
      </c>
      <c r="BK1" s="9">
        <v>20110</v>
      </c>
      <c r="BL1" s="9">
        <v>21001</v>
      </c>
      <c r="BM1" s="9">
        <v>21010</v>
      </c>
      <c r="BN1" s="9">
        <v>20200</v>
      </c>
      <c r="BO1" s="9">
        <v>21100</v>
      </c>
      <c r="BP1" s="9">
        <v>22000</v>
      </c>
      <c r="BQ1" s="9">
        <v>30001</v>
      </c>
      <c r="BR1" s="9">
        <v>30010</v>
      </c>
      <c r="BS1" s="9">
        <v>30100</v>
      </c>
      <c r="BT1" s="9">
        <v>31000</v>
      </c>
      <c r="BU1" s="9">
        <v>40000</v>
      </c>
    </row>
    <row r="2" spans="1:74" x14ac:dyDescent="0.25">
      <c r="A2" s="9">
        <v>10003</v>
      </c>
      <c r="B2" s="4">
        <f>-SUM(C2:AE2)</f>
        <v>-86.43</v>
      </c>
      <c r="C2" s="4">
        <f>(3*3+19*3*(1-0.01))</f>
        <v>65.430000000000007</v>
      </c>
      <c r="D2" s="4">
        <v>0</v>
      </c>
      <c r="E2" s="4">
        <v>0</v>
      </c>
      <c r="F2" s="4">
        <f>7*(1-0.05)*1*3</f>
        <v>19.95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5">
        <f>7*0.05*3*1</f>
        <v>1.05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3"/>
      <c r="AG2" s="3"/>
      <c r="AH2" s="3"/>
      <c r="AI2" s="3"/>
      <c r="AJ2" s="3"/>
      <c r="AK2" s="9">
        <v>10003</v>
      </c>
      <c r="AM2" s="1">
        <f>B2-B41</f>
        <v>0</v>
      </c>
      <c r="AN2" s="1">
        <f t="shared" ref="AN2:AY17" si="0">C2-C41</f>
        <v>0</v>
      </c>
      <c r="AO2" s="1">
        <f t="shared" si="0"/>
        <v>0</v>
      </c>
      <c r="AP2" s="1">
        <f t="shared" si="0"/>
        <v>0</v>
      </c>
      <c r="AQ2" s="1">
        <f t="shared" si="0"/>
        <v>0</v>
      </c>
      <c r="AR2" s="1">
        <f t="shared" si="0"/>
        <v>0</v>
      </c>
      <c r="AS2" s="1">
        <f t="shared" si="0"/>
        <v>0</v>
      </c>
      <c r="AT2" s="1">
        <f t="shared" si="0"/>
        <v>0</v>
      </c>
      <c r="AU2" s="1">
        <f t="shared" si="0"/>
        <v>0</v>
      </c>
      <c r="AV2" s="1">
        <f t="shared" si="0"/>
        <v>0</v>
      </c>
      <c r="AW2" s="1">
        <f t="shared" si="0"/>
        <v>0</v>
      </c>
      <c r="AX2" s="1">
        <f t="shared" si="0"/>
        <v>0</v>
      </c>
      <c r="AY2" s="1">
        <f t="shared" si="0"/>
        <v>0</v>
      </c>
      <c r="AZ2" s="1">
        <f t="shared" ref="AZ2:AZ36" si="1">O2-O41</f>
        <v>0</v>
      </c>
      <c r="BA2" s="1">
        <f t="shared" ref="BA2:BA36" si="2">P2-P41</f>
        <v>0</v>
      </c>
      <c r="BB2" s="1">
        <f t="shared" ref="BB2:BB36" si="3">Q2-Q41</f>
        <v>0</v>
      </c>
      <c r="BC2" s="1">
        <f t="shared" ref="BC2:BC36" si="4">R2-R41</f>
        <v>0</v>
      </c>
      <c r="BD2" s="1">
        <f t="shared" ref="BD2:BD36" si="5">S2-S41</f>
        <v>0</v>
      </c>
      <c r="BE2" s="1">
        <f t="shared" ref="BE2:BE36" si="6">T2-T41</f>
        <v>0</v>
      </c>
      <c r="BF2" s="1">
        <f t="shared" ref="BF2:BF36" si="7">U2-U41</f>
        <v>0</v>
      </c>
      <c r="BG2" s="2">
        <f t="shared" ref="BG2:BG36" si="8">V2-V41</f>
        <v>0</v>
      </c>
      <c r="BH2" s="2">
        <f t="shared" ref="BH2:BH36" si="9">W2-W41</f>
        <v>0</v>
      </c>
      <c r="BI2" s="2">
        <f t="shared" ref="BI2:BI36" si="10">X2-X41</f>
        <v>0</v>
      </c>
      <c r="BJ2" s="2">
        <f t="shared" ref="BJ2:BJ36" si="11">Y2-Y41</f>
        <v>0</v>
      </c>
      <c r="BK2" s="2">
        <f t="shared" ref="BK2:BK36" si="12">Z2-Z41</f>
        <v>0</v>
      </c>
      <c r="BL2" s="2">
        <f t="shared" ref="BL2:BL36" si="13">AA2-AA41</f>
        <v>0</v>
      </c>
      <c r="BM2" s="2">
        <f t="shared" ref="BM2:BM36" si="14">AB2-AB41</f>
        <v>0</v>
      </c>
      <c r="BN2" s="2">
        <f t="shared" ref="BN2:BN36" si="15">AC2-AC41</f>
        <v>0</v>
      </c>
      <c r="BO2" s="2">
        <f t="shared" ref="BO2:BO36" si="16">AD2-AD41</f>
        <v>0</v>
      </c>
      <c r="BP2" s="2">
        <f t="shared" ref="BP2:BP36" si="17">AE2-AE41</f>
        <v>0</v>
      </c>
      <c r="BQ2">
        <f t="shared" ref="BQ2:BQ36" si="18">AF2-AF41</f>
        <v>0</v>
      </c>
      <c r="BR2">
        <f t="shared" ref="BR2:BR36" si="19">AG2-AG41</f>
        <v>0</v>
      </c>
      <c r="BS2">
        <f t="shared" ref="BS2:BS36" si="20">AH2-AH41</f>
        <v>0</v>
      </c>
      <c r="BT2">
        <f t="shared" ref="BT2:BT36" si="21">AI2-AI41</f>
        <v>0</v>
      </c>
      <c r="BU2">
        <f t="shared" ref="BU2:BU36" si="22">AJ2-AJ41</f>
        <v>0</v>
      </c>
      <c r="BV2" s="9">
        <v>10003</v>
      </c>
    </row>
    <row r="3" spans="1:74" x14ac:dyDescent="0.25">
      <c r="A3" s="9">
        <v>10012</v>
      </c>
      <c r="B3" s="4">
        <f>19*0.01</f>
        <v>0.19</v>
      </c>
      <c r="C3" s="4">
        <f>-(SUM(D3:AJ3)+B3)</f>
        <v>-62.809999999999995</v>
      </c>
      <c r="D3" s="4">
        <f>(3*2+19*2*(1-0.01))</f>
        <v>43.62</v>
      </c>
      <c r="E3" s="4"/>
      <c r="F3" s="4">
        <v>0</v>
      </c>
      <c r="G3" s="4">
        <f>7*(1-0.05)*1*2</f>
        <v>13.299999999999999</v>
      </c>
      <c r="H3" s="4">
        <v>0</v>
      </c>
      <c r="I3" s="4">
        <f>5*(1-0.03)*1</f>
        <v>4.8499999999999996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5">
        <f>5*0.03*1*1</f>
        <v>0.15</v>
      </c>
      <c r="W3" s="5">
        <f>7*0.05*2*1</f>
        <v>0.70000000000000007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3"/>
      <c r="AG3" s="3"/>
      <c r="AH3" s="3"/>
      <c r="AI3" s="3"/>
      <c r="AJ3" s="3"/>
      <c r="AK3" s="9">
        <v>10012</v>
      </c>
      <c r="AM3" s="1">
        <f t="shared" ref="AM3:AY36" si="23">B3-B42</f>
        <v>0</v>
      </c>
      <c r="AN3" s="1">
        <f t="shared" si="0"/>
        <v>0</v>
      </c>
      <c r="AO3" s="1">
        <f t="shared" si="0"/>
        <v>0</v>
      </c>
      <c r="AP3" s="1">
        <f t="shared" si="0"/>
        <v>0</v>
      </c>
      <c r="AQ3" s="1">
        <f t="shared" si="0"/>
        <v>0</v>
      </c>
      <c r="AR3" s="1">
        <f t="shared" si="0"/>
        <v>0</v>
      </c>
      <c r="AS3" s="1">
        <f t="shared" si="0"/>
        <v>0</v>
      </c>
      <c r="AT3" s="1">
        <f t="shared" si="0"/>
        <v>0</v>
      </c>
      <c r="AU3" s="1">
        <f t="shared" si="0"/>
        <v>0</v>
      </c>
      <c r="AV3" s="1">
        <f t="shared" si="0"/>
        <v>0</v>
      </c>
      <c r="AW3" s="1">
        <f t="shared" si="0"/>
        <v>0</v>
      </c>
      <c r="AX3" s="1">
        <f t="shared" si="0"/>
        <v>0</v>
      </c>
      <c r="AY3" s="1">
        <f t="shared" si="0"/>
        <v>0</v>
      </c>
      <c r="AZ3" s="1">
        <f t="shared" si="1"/>
        <v>0</v>
      </c>
      <c r="BA3" s="1">
        <f t="shared" si="2"/>
        <v>0</v>
      </c>
      <c r="BB3" s="1">
        <f t="shared" si="3"/>
        <v>0</v>
      </c>
      <c r="BC3" s="1">
        <f t="shared" si="4"/>
        <v>0</v>
      </c>
      <c r="BD3" s="1">
        <f t="shared" si="5"/>
        <v>0</v>
      </c>
      <c r="BE3" s="1">
        <f t="shared" si="6"/>
        <v>0</v>
      </c>
      <c r="BF3" s="1">
        <f t="shared" si="7"/>
        <v>0</v>
      </c>
      <c r="BG3" s="2">
        <f t="shared" si="8"/>
        <v>0</v>
      </c>
      <c r="BH3" s="2">
        <f t="shared" si="9"/>
        <v>0</v>
      </c>
      <c r="BI3" s="2">
        <f t="shared" si="10"/>
        <v>0</v>
      </c>
      <c r="BJ3" s="2">
        <f t="shared" si="11"/>
        <v>0</v>
      </c>
      <c r="BK3" s="2">
        <f t="shared" si="12"/>
        <v>0</v>
      </c>
      <c r="BL3" s="2">
        <f t="shared" si="13"/>
        <v>0</v>
      </c>
      <c r="BM3" s="2">
        <f t="shared" si="14"/>
        <v>0</v>
      </c>
      <c r="BN3" s="2">
        <f t="shared" si="15"/>
        <v>0</v>
      </c>
      <c r="BO3" s="2">
        <f t="shared" si="16"/>
        <v>0</v>
      </c>
      <c r="BP3" s="2">
        <f t="shared" si="17"/>
        <v>0</v>
      </c>
      <c r="BQ3">
        <f t="shared" si="18"/>
        <v>0</v>
      </c>
      <c r="BR3">
        <f t="shared" si="19"/>
        <v>0</v>
      </c>
      <c r="BS3">
        <f t="shared" si="20"/>
        <v>0</v>
      </c>
      <c r="BT3">
        <f t="shared" si="21"/>
        <v>0</v>
      </c>
      <c r="BU3">
        <f t="shared" si="22"/>
        <v>0</v>
      </c>
      <c r="BV3" s="9">
        <v>10012</v>
      </c>
    </row>
    <row r="4" spans="1:74" x14ac:dyDescent="0.25">
      <c r="A4" s="9">
        <v>10021</v>
      </c>
      <c r="B4" s="4">
        <v>0</v>
      </c>
      <c r="C4" s="4">
        <f>19*2*0.01</f>
        <v>0.38</v>
      </c>
      <c r="D4" s="4">
        <f>-SUM(E4:AJ4)-C4</f>
        <v>-39.19</v>
      </c>
      <c r="E4" s="4">
        <f>(3*1+19*1*(1-0.01))</f>
        <v>21.81</v>
      </c>
      <c r="F4" s="4">
        <v>0</v>
      </c>
      <c r="G4" s="4">
        <v>0</v>
      </c>
      <c r="H4" s="4">
        <f>7*(1-0.05)*1*1</f>
        <v>6.6499999999999995</v>
      </c>
      <c r="I4" s="4">
        <v>0</v>
      </c>
      <c r="J4" s="4">
        <f>5*(1-0.03)*2</f>
        <v>9.6999999999999993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5">
        <v>0</v>
      </c>
      <c r="W4" s="5">
        <f>5*0.03*2*1</f>
        <v>0.3</v>
      </c>
      <c r="X4" s="5">
        <f>7*0.05*1*1</f>
        <v>0.35000000000000003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3"/>
      <c r="AG4" s="3"/>
      <c r="AH4" s="3"/>
      <c r="AI4" s="3"/>
      <c r="AJ4" s="3"/>
      <c r="AK4" s="9">
        <v>10021</v>
      </c>
      <c r="AM4" s="1">
        <f t="shared" si="23"/>
        <v>0</v>
      </c>
      <c r="AN4" s="1">
        <f t="shared" si="0"/>
        <v>0</v>
      </c>
      <c r="AO4" s="1">
        <f t="shared" si="0"/>
        <v>0</v>
      </c>
      <c r="AP4" s="1">
        <f t="shared" si="0"/>
        <v>0</v>
      </c>
      <c r="AQ4" s="1">
        <f t="shared" si="0"/>
        <v>0</v>
      </c>
      <c r="AR4" s="1">
        <f t="shared" si="0"/>
        <v>0</v>
      </c>
      <c r="AS4" s="1">
        <f t="shared" si="0"/>
        <v>0</v>
      </c>
      <c r="AT4" s="1">
        <f t="shared" si="0"/>
        <v>0</v>
      </c>
      <c r="AU4" s="1">
        <f t="shared" si="0"/>
        <v>0</v>
      </c>
      <c r="AV4" s="1">
        <f t="shared" si="0"/>
        <v>0</v>
      </c>
      <c r="AW4" s="1">
        <f t="shared" si="0"/>
        <v>0</v>
      </c>
      <c r="AX4" s="1">
        <f t="shared" si="0"/>
        <v>0</v>
      </c>
      <c r="AY4" s="1">
        <f t="shared" si="0"/>
        <v>0</v>
      </c>
      <c r="AZ4" s="1">
        <f t="shared" si="1"/>
        <v>0</v>
      </c>
      <c r="BA4" s="1">
        <f t="shared" si="2"/>
        <v>0</v>
      </c>
      <c r="BB4" s="1">
        <f t="shared" si="3"/>
        <v>0</v>
      </c>
      <c r="BC4" s="1">
        <f t="shared" si="4"/>
        <v>0</v>
      </c>
      <c r="BD4" s="1">
        <f t="shared" si="5"/>
        <v>0</v>
      </c>
      <c r="BE4" s="1">
        <f t="shared" si="6"/>
        <v>0</v>
      </c>
      <c r="BF4" s="1">
        <f t="shared" si="7"/>
        <v>0</v>
      </c>
      <c r="BG4" s="2">
        <f t="shared" si="8"/>
        <v>0</v>
      </c>
      <c r="BH4" s="2">
        <f t="shared" si="9"/>
        <v>0</v>
      </c>
      <c r="BI4" s="2">
        <f t="shared" si="10"/>
        <v>0</v>
      </c>
      <c r="BJ4" s="2">
        <f t="shared" si="11"/>
        <v>0</v>
      </c>
      <c r="BK4" s="2">
        <f t="shared" si="12"/>
        <v>0</v>
      </c>
      <c r="BL4" s="2">
        <f t="shared" si="13"/>
        <v>0</v>
      </c>
      <c r="BM4" s="2">
        <f t="shared" si="14"/>
        <v>0</v>
      </c>
      <c r="BN4" s="2">
        <f t="shared" si="15"/>
        <v>0</v>
      </c>
      <c r="BO4" s="2">
        <f t="shared" si="16"/>
        <v>0</v>
      </c>
      <c r="BP4" s="2">
        <f t="shared" si="17"/>
        <v>0</v>
      </c>
      <c r="BQ4">
        <f t="shared" si="18"/>
        <v>0</v>
      </c>
      <c r="BR4">
        <f t="shared" si="19"/>
        <v>0</v>
      </c>
      <c r="BS4">
        <f t="shared" si="20"/>
        <v>0</v>
      </c>
      <c r="BT4">
        <f t="shared" si="21"/>
        <v>0</v>
      </c>
      <c r="BU4">
        <f t="shared" si="22"/>
        <v>0</v>
      </c>
      <c r="BV4" s="9">
        <v>10021</v>
      </c>
    </row>
    <row r="5" spans="1:74" x14ac:dyDescent="0.25">
      <c r="A5" s="9">
        <v>10030</v>
      </c>
      <c r="B5" s="4">
        <v>0</v>
      </c>
      <c r="C5" s="4">
        <v>0</v>
      </c>
      <c r="D5" s="4">
        <f>19*3*0.01</f>
        <v>0.57000000000000006</v>
      </c>
      <c r="E5" s="4">
        <f>-SUM(F5:AJ5)-D5</f>
        <v>-15.569999999999999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f>5*(1-0.03)*3</f>
        <v>14.549999999999999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5">
        <v>0</v>
      </c>
      <c r="W5" s="5">
        <v>0</v>
      </c>
      <c r="X5" s="5">
        <f>5*0.03*3*1</f>
        <v>0.44999999999999996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3"/>
      <c r="AG5" s="3"/>
      <c r="AH5" s="3"/>
      <c r="AI5" s="3"/>
      <c r="AJ5" s="3"/>
      <c r="AK5" s="9">
        <v>10030</v>
      </c>
      <c r="AM5" s="1">
        <f t="shared" si="23"/>
        <v>0</v>
      </c>
      <c r="AN5" s="1">
        <f t="shared" si="0"/>
        <v>0</v>
      </c>
      <c r="AO5" s="1">
        <f t="shared" si="0"/>
        <v>0</v>
      </c>
      <c r="AP5" s="1">
        <f t="shared" si="0"/>
        <v>0</v>
      </c>
      <c r="AQ5" s="1">
        <f t="shared" si="0"/>
        <v>0</v>
      </c>
      <c r="AR5" s="1">
        <f t="shared" si="0"/>
        <v>0</v>
      </c>
      <c r="AS5" s="1">
        <f t="shared" si="0"/>
        <v>0</v>
      </c>
      <c r="AT5" s="1">
        <f t="shared" si="0"/>
        <v>0</v>
      </c>
      <c r="AU5" s="1">
        <f t="shared" si="0"/>
        <v>0</v>
      </c>
      <c r="AV5" s="1">
        <f t="shared" si="0"/>
        <v>0</v>
      </c>
      <c r="AW5" s="1">
        <f t="shared" si="0"/>
        <v>0</v>
      </c>
      <c r="AX5" s="1">
        <f t="shared" si="0"/>
        <v>0</v>
      </c>
      <c r="AY5" s="1">
        <f t="shared" si="0"/>
        <v>0</v>
      </c>
      <c r="AZ5" s="1">
        <f t="shared" si="1"/>
        <v>0</v>
      </c>
      <c r="BA5" s="1">
        <f t="shared" si="2"/>
        <v>0</v>
      </c>
      <c r="BB5" s="1">
        <f t="shared" si="3"/>
        <v>0</v>
      </c>
      <c r="BC5" s="1">
        <f t="shared" si="4"/>
        <v>0</v>
      </c>
      <c r="BD5" s="1">
        <f t="shared" si="5"/>
        <v>0</v>
      </c>
      <c r="BE5" s="1">
        <f t="shared" si="6"/>
        <v>0</v>
      </c>
      <c r="BF5" s="1">
        <f t="shared" si="7"/>
        <v>0</v>
      </c>
      <c r="BG5" s="2">
        <f t="shared" si="8"/>
        <v>0</v>
      </c>
      <c r="BH5" s="2">
        <f t="shared" si="9"/>
        <v>0</v>
      </c>
      <c r="BI5" s="2">
        <f t="shared" si="10"/>
        <v>0</v>
      </c>
      <c r="BJ5" s="2">
        <f t="shared" si="11"/>
        <v>0</v>
      </c>
      <c r="BK5" s="2">
        <f t="shared" si="12"/>
        <v>0</v>
      </c>
      <c r="BL5" s="2">
        <f t="shared" si="13"/>
        <v>0</v>
      </c>
      <c r="BM5" s="2">
        <f t="shared" si="14"/>
        <v>0</v>
      </c>
      <c r="BN5" s="2">
        <f t="shared" si="15"/>
        <v>0</v>
      </c>
      <c r="BO5" s="2">
        <f t="shared" si="16"/>
        <v>0</v>
      </c>
      <c r="BP5" s="2">
        <f t="shared" si="17"/>
        <v>0</v>
      </c>
      <c r="BQ5">
        <f t="shared" si="18"/>
        <v>0</v>
      </c>
      <c r="BR5">
        <f t="shared" si="19"/>
        <v>0</v>
      </c>
      <c r="BS5">
        <f t="shared" si="20"/>
        <v>0</v>
      </c>
      <c r="BT5">
        <f t="shared" si="21"/>
        <v>0</v>
      </c>
      <c r="BU5">
        <f t="shared" si="22"/>
        <v>0</v>
      </c>
      <c r="BV5" s="9">
        <v>10030</v>
      </c>
    </row>
    <row r="6" spans="1:74" x14ac:dyDescent="0.25">
      <c r="A6" s="9">
        <v>10102</v>
      </c>
      <c r="B6" s="4">
        <f>19*1*0.01</f>
        <v>0.19</v>
      </c>
      <c r="C6" s="4">
        <f>19*(1-0.01)</f>
        <v>18.809999999999999</v>
      </c>
      <c r="D6" s="4">
        <v>0</v>
      </c>
      <c r="E6" s="4">
        <v>0</v>
      </c>
      <c r="F6" s="4">
        <f>-SUM(B6:E6)-SUM(G6:AJ6)</f>
        <v>-102.61999999999999</v>
      </c>
      <c r="G6" s="4">
        <f>2*(3+19*(1-0.01))</f>
        <v>43.62</v>
      </c>
      <c r="H6" s="4">
        <v>0</v>
      </c>
      <c r="I6" s="4">
        <v>0</v>
      </c>
      <c r="J6" s="4">
        <v>0</v>
      </c>
      <c r="K6" s="4">
        <v>0</v>
      </c>
      <c r="L6" s="4">
        <f>7*(1-0.05)*1*2</f>
        <v>13.299999999999999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5">
        <f>13*2*1</f>
        <v>26</v>
      </c>
      <c r="W6" s="5">
        <v>0</v>
      </c>
      <c r="X6" s="5">
        <v>0</v>
      </c>
      <c r="Y6" s="5">
        <f>7*0.05*2*1</f>
        <v>0.70000000000000007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3"/>
      <c r="AG6" s="3"/>
      <c r="AH6" s="3"/>
      <c r="AI6" s="3"/>
      <c r="AJ6" s="3"/>
      <c r="AK6" s="9">
        <v>10102</v>
      </c>
      <c r="AM6" s="1">
        <f t="shared" si="23"/>
        <v>0</v>
      </c>
      <c r="AN6" s="1">
        <f t="shared" si="0"/>
        <v>0</v>
      </c>
      <c r="AO6" s="1">
        <f t="shared" si="0"/>
        <v>0</v>
      </c>
      <c r="AP6" s="1">
        <f t="shared" si="0"/>
        <v>0</v>
      </c>
      <c r="AQ6" s="1">
        <f t="shared" si="0"/>
        <v>0</v>
      </c>
      <c r="AR6" s="1">
        <f t="shared" si="0"/>
        <v>0</v>
      </c>
      <c r="AS6" s="1">
        <f t="shared" si="0"/>
        <v>0</v>
      </c>
      <c r="AT6" s="1">
        <f t="shared" si="0"/>
        <v>0</v>
      </c>
      <c r="AU6" s="1">
        <f t="shared" si="0"/>
        <v>0</v>
      </c>
      <c r="AV6" s="1">
        <f t="shared" si="0"/>
        <v>0</v>
      </c>
      <c r="AW6" s="1">
        <f t="shared" si="0"/>
        <v>0</v>
      </c>
      <c r="AX6" s="1">
        <f t="shared" si="0"/>
        <v>0</v>
      </c>
      <c r="AY6" s="1">
        <f t="shared" si="0"/>
        <v>0</v>
      </c>
      <c r="AZ6" s="1">
        <f t="shared" si="1"/>
        <v>0</v>
      </c>
      <c r="BA6" s="1">
        <f t="shared" si="2"/>
        <v>0</v>
      </c>
      <c r="BB6" s="1">
        <f t="shared" si="3"/>
        <v>0</v>
      </c>
      <c r="BC6" s="1">
        <f t="shared" si="4"/>
        <v>0</v>
      </c>
      <c r="BD6" s="1">
        <f t="shared" si="5"/>
        <v>0</v>
      </c>
      <c r="BE6" s="1">
        <f t="shared" si="6"/>
        <v>0</v>
      </c>
      <c r="BF6" s="1">
        <f t="shared" si="7"/>
        <v>0</v>
      </c>
      <c r="BG6" s="2">
        <f t="shared" si="8"/>
        <v>0</v>
      </c>
      <c r="BH6" s="2">
        <f t="shared" si="9"/>
        <v>0</v>
      </c>
      <c r="BI6" s="2">
        <f t="shared" si="10"/>
        <v>0</v>
      </c>
      <c r="BJ6" s="2">
        <f t="shared" si="11"/>
        <v>0</v>
      </c>
      <c r="BK6" s="2">
        <f t="shared" si="12"/>
        <v>0</v>
      </c>
      <c r="BL6" s="2">
        <f t="shared" si="13"/>
        <v>0</v>
      </c>
      <c r="BM6" s="2">
        <f t="shared" si="14"/>
        <v>0</v>
      </c>
      <c r="BN6" s="2">
        <f t="shared" si="15"/>
        <v>0</v>
      </c>
      <c r="BO6" s="2">
        <f t="shared" si="16"/>
        <v>0</v>
      </c>
      <c r="BP6" s="2">
        <f t="shared" si="17"/>
        <v>0</v>
      </c>
      <c r="BQ6">
        <f t="shared" si="18"/>
        <v>0</v>
      </c>
      <c r="BR6">
        <f t="shared" si="19"/>
        <v>0</v>
      </c>
      <c r="BS6">
        <f t="shared" si="20"/>
        <v>0</v>
      </c>
      <c r="BT6">
        <f t="shared" si="21"/>
        <v>0</v>
      </c>
      <c r="BU6">
        <f t="shared" si="22"/>
        <v>0</v>
      </c>
      <c r="BV6" s="9">
        <v>10102</v>
      </c>
    </row>
    <row r="7" spans="1:74" x14ac:dyDescent="0.25">
      <c r="A7" s="9">
        <v>10111</v>
      </c>
      <c r="B7" s="4">
        <v>0</v>
      </c>
      <c r="C7" s="4">
        <f>19*1*0.01</f>
        <v>0.19</v>
      </c>
      <c r="D7" s="4">
        <f>19*(1-0.01)</f>
        <v>18.809999999999999</v>
      </c>
      <c r="E7" s="4">
        <v>0</v>
      </c>
      <c r="F7" s="4">
        <f>19*0.01</f>
        <v>0.19</v>
      </c>
      <c r="G7" s="4">
        <f>-SUM(B7:F7)-SUM(H7:AJ7)</f>
        <v>-79</v>
      </c>
      <c r="H7" s="4">
        <f>1*(3+19*(1-0.01))</f>
        <v>21.81</v>
      </c>
      <c r="I7" s="4">
        <v>0</v>
      </c>
      <c r="J7" s="4">
        <v>0</v>
      </c>
      <c r="K7" s="4">
        <v>0</v>
      </c>
      <c r="L7" s="4">
        <v>0</v>
      </c>
      <c r="M7" s="4">
        <f>7*(1-0.05)*1*1</f>
        <v>6.6499999999999995</v>
      </c>
      <c r="N7" s="4">
        <f>5*(1-0.03)*1</f>
        <v>4.8499999999999996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5">
        <v>0</v>
      </c>
      <c r="W7" s="5">
        <f>13*2*1</f>
        <v>26</v>
      </c>
      <c r="X7" s="5">
        <v>0</v>
      </c>
      <c r="Y7" s="5">
        <f>5*0.03*1*1</f>
        <v>0.15</v>
      </c>
      <c r="Z7" s="5">
        <f>7*0.05*1*1</f>
        <v>0.35000000000000003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3"/>
      <c r="AG7" s="3"/>
      <c r="AH7" s="3"/>
      <c r="AI7" s="3"/>
      <c r="AJ7" s="3"/>
      <c r="AK7" s="9">
        <v>10111</v>
      </c>
      <c r="AM7" s="1">
        <f t="shared" si="23"/>
        <v>0</v>
      </c>
      <c r="AN7" s="1">
        <f t="shared" si="0"/>
        <v>0</v>
      </c>
      <c r="AO7" s="1">
        <f t="shared" si="0"/>
        <v>0</v>
      </c>
      <c r="AP7" s="1">
        <f t="shared" si="0"/>
        <v>0</v>
      </c>
      <c r="AQ7" s="1">
        <f t="shared" si="0"/>
        <v>0</v>
      </c>
      <c r="AR7" s="1">
        <f t="shared" si="0"/>
        <v>0</v>
      </c>
      <c r="AS7" s="1">
        <f t="shared" si="0"/>
        <v>0</v>
      </c>
      <c r="AT7" s="1">
        <f t="shared" si="0"/>
        <v>0</v>
      </c>
      <c r="AU7" s="1">
        <f t="shared" si="0"/>
        <v>0</v>
      </c>
      <c r="AV7" s="1">
        <f t="shared" si="0"/>
        <v>0</v>
      </c>
      <c r="AW7" s="1">
        <f t="shared" si="0"/>
        <v>0</v>
      </c>
      <c r="AX7" s="1">
        <f t="shared" si="0"/>
        <v>0</v>
      </c>
      <c r="AY7" s="1">
        <f t="shared" si="0"/>
        <v>0</v>
      </c>
      <c r="AZ7" s="1">
        <f t="shared" si="1"/>
        <v>0</v>
      </c>
      <c r="BA7" s="1">
        <f t="shared" si="2"/>
        <v>0</v>
      </c>
      <c r="BB7" s="1">
        <f t="shared" si="3"/>
        <v>0</v>
      </c>
      <c r="BC7" s="1">
        <f t="shared" si="4"/>
        <v>0</v>
      </c>
      <c r="BD7" s="1">
        <f t="shared" si="5"/>
        <v>0</v>
      </c>
      <c r="BE7" s="1">
        <f t="shared" si="6"/>
        <v>0</v>
      </c>
      <c r="BF7" s="1">
        <f t="shared" si="7"/>
        <v>0</v>
      </c>
      <c r="BG7" s="2">
        <f t="shared" si="8"/>
        <v>0</v>
      </c>
      <c r="BH7" s="2">
        <f t="shared" si="9"/>
        <v>0</v>
      </c>
      <c r="BI7" s="2">
        <f t="shared" si="10"/>
        <v>0</v>
      </c>
      <c r="BJ7" s="2">
        <f t="shared" si="11"/>
        <v>0</v>
      </c>
      <c r="BK7" s="2">
        <f t="shared" si="12"/>
        <v>0</v>
      </c>
      <c r="BL7" s="2">
        <f t="shared" si="13"/>
        <v>0</v>
      </c>
      <c r="BM7" s="2">
        <f t="shared" si="14"/>
        <v>0</v>
      </c>
      <c r="BN7" s="2">
        <f t="shared" si="15"/>
        <v>0</v>
      </c>
      <c r="BO7" s="2">
        <f t="shared" si="16"/>
        <v>0</v>
      </c>
      <c r="BP7" s="2">
        <f t="shared" si="17"/>
        <v>0</v>
      </c>
      <c r="BQ7">
        <f t="shared" si="18"/>
        <v>0</v>
      </c>
      <c r="BR7">
        <f t="shared" si="19"/>
        <v>0</v>
      </c>
      <c r="BS7">
        <f t="shared" si="20"/>
        <v>0</v>
      </c>
      <c r="BT7">
        <f t="shared" si="21"/>
        <v>0</v>
      </c>
      <c r="BU7">
        <f t="shared" si="22"/>
        <v>0</v>
      </c>
      <c r="BV7" s="9">
        <v>10111</v>
      </c>
    </row>
    <row r="8" spans="1:74" x14ac:dyDescent="0.25">
      <c r="A8" s="9">
        <v>10120</v>
      </c>
      <c r="B8" s="4">
        <v>0</v>
      </c>
      <c r="C8" s="4">
        <v>0</v>
      </c>
      <c r="D8" s="4">
        <f>19*1*0.01</f>
        <v>0.19</v>
      </c>
      <c r="E8" s="4">
        <f>19*(1-0.01)</f>
        <v>18.809999999999999</v>
      </c>
      <c r="F8" s="4">
        <v>0</v>
      </c>
      <c r="G8" s="4">
        <f>19*2*0.01</f>
        <v>0.38</v>
      </c>
      <c r="H8" s="4">
        <f>-SUM(B8:G8)-SUM(I8:AJ8)</f>
        <v>-55.379999999999995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f>5*(1-0.03)*2</f>
        <v>9.6999999999999993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5">
        <v>0</v>
      </c>
      <c r="W8" s="5">
        <v>0</v>
      </c>
      <c r="X8" s="5">
        <f>13*2*1</f>
        <v>26</v>
      </c>
      <c r="Y8" s="5">
        <v>0</v>
      </c>
      <c r="Z8" s="5">
        <f>5*0.03*2*1</f>
        <v>0.3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3"/>
      <c r="AG8" s="3"/>
      <c r="AH8" s="3"/>
      <c r="AI8" s="3"/>
      <c r="AJ8" s="3"/>
      <c r="AK8" s="9">
        <v>10120</v>
      </c>
      <c r="AM8" s="1">
        <f t="shared" si="23"/>
        <v>0</v>
      </c>
      <c r="AN8" s="1">
        <f t="shared" si="0"/>
        <v>0</v>
      </c>
      <c r="AO8" s="1">
        <f t="shared" si="0"/>
        <v>0</v>
      </c>
      <c r="AP8" s="1">
        <f t="shared" si="0"/>
        <v>0</v>
      </c>
      <c r="AQ8" s="1">
        <f t="shared" si="0"/>
        <v>0</v>
      </c>
      <c r="AR8" s="1">
        <f t="shared" si="0"/>
        <v>0</v>
      </c>
      <c r="AS8" s="1">
        <f t="shared" si="0"/>
        <v>0</v>
      </c>
      <c r="AT8" s="1">
        <f t="shared" si="0"/>
        <v>0</v>
      </c>
      <c r="AU8" s="1">
        <f t="shared" si="0"/>
        <v>0</v>
      </c>
      <c r="AV8" s="1">
        <f t="shared" si="0"/>
        <v>0</v>
      </c>
      <c r="AW8" s="1">
        <f t="shared" si="0"/>
        <v>0</v>
      </c>
      <c r="AX8" s="1">
        <f t="shared" si="0"/>
        <v>0</v>
      </c>
      <c r="AY8" s="1">
        <f t="shared" si="0"/>
        <v>0</v>
      </c>
      <c r="AZ8" s="1">
        <f t="shared" si="1"/>
        <v>0</v>
      </c>
      <c r="BA8" s="1">
        <f t="shared" si="2"/>
        <v>0</v>
      </c>
      <c r="BB8" s="1">
        <f t="shared" si="3"/>
        <v>0</v>
      </c>
      <c r="BC8" s="1">
        <f t="shared" si="4"/>
        <v>0</v>
      </c>
      <c r="BD8" s="1">
        <f t="shared" si="5"/>
        <v>0</v>
      </c>
      <c r="BE8" s="1">
        <f t="shared" si="6"/>
        <v>0</v>
      </c>
      <c r="BF8" s="1">
        <f t="shared" si="7"/>
        <v>0</v>
      </c>
      <c r="BG8" s="2">
        <f t="shared" si="8"/>
        <v>0</v>
      </c>
      <c r="BH8" s="2">
        <f t="shared" si="9"/>
        <v>0</v>
      </c>
      <c r="BI8" s="2">
        <f t="shared" si="10"/>
        <v>0</v>
      </c>
      <c r="BJ8" s="2">
        <f t="shared" si="11"/>
        <v>0</v>
      </c>
      <c r="BK8" s="2">
        <f t="shared" si="12"/>
        <v>0</v>
      </c>
      <c r="BL8" s="2">
        <f t="shared" si="13"/>
        <v>0</v>
      </c>
      <c r="BM8" s="2">
        <f t="shared" si="14"/>
        <v>0</v>
      </c>
      <c r="BN8" s="2">
        <f t="shared" si="15"/>
        <v>0</v>
      </c>
      <c r="BO8" s="2">
        <f t="shared" si="16"/>
        <v>0</v>
      </c>
      <c r="BP8" s="2">
        <f t="shared" si="17"/>
        <v>0</v>
      </c>
      <c r="BQ8">
        <f t="shared" si="18"/>
        <v>0</v>
      </c>
      <c r="BR8">
        <f t="shared" si="19"/>
        <v>0</v>
      </c>
      <c r="BS8">
        <f t="shared" si="20"/>
        <v>0</v>
      </c>
      <c r="BT8">
        <f t="shared" si="21"/>
        <v>0</v>
      </c>
      <c r="BU8">
        <f t="shared" si="22"/>
        <v>0</v>
      </c>
      <c r="BV8" s="9">
        <v>10120</v>
      </c>
    </row>
    <row r="9" spans="1:74" x14ac:dyDescent="0.25">
      <c r="A9" s="9">
        <v>11002</v>
      </c>
      <c r="B9" s="4">
        <f>19*1*0.01</f>
        <v>0.19</v>
      </c>
      <c r="C9" s="4">
        <f>19*1*(1-0.01)</f>
        <v>18.809999999999999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f>-SUM(B9:H9)-SUM(J9:AJ9)</f>
        <v>-98.61999999999999</v>
      </c>
      <c r="J9" s="4">
        <f>2*(3+19*(1-0.01))</f>
        <v>43.62</v>
      </c>
      <c r="K9" s="4">
        <v>0</v>
      </c>
      <c r="L9" s="4">
        <v>0</v>
      </c>
      <c r="M9" s="4">
        <v>0</v>
      </c>
      <c r="N9" s="4">
        <f>7*(1-0.05)*1*2</f>
        <v>13.299999999999999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5">
        <f>11*2*1</f>
        <v>22</v>
      </c>
      <c r="W9" s="5">
        <v>0</v>
      </c>
      <c r="X9" s="5">
        <v>0</v>
      </c>
      <c r="Y9" s="5">
        <v>0</v>
      </c>
      <c r="Z9" s="5">
        <v>0</v>
      </c>
      <c r="AA9" s="5">
        <f>7*0.05*2*1</f>
        <v>0.70000000000000007</v>
      </c>
      <c r="AB9" s="5">
        <v>0</v>
      </c>
      <c r="AC9" s="5">
        <v>0</v>
      </c>
      <c r="AD9" s="5">
        <v>0</v>
      </c>
      <c r="AE9" s="5">
        <v>0</v>
      </c>
      <c r="AF9" s="3"/>
      <c r="AG9" s="3"/>
      <c r="AH9" s="3"/>
      <c r="AI9" s="3"/>
      <c r="AJ9" s="3"/>
      <c r="AK9" s="9">
        <v>11002</v>
      </c>
      <c r="AM9" s="1">
        <f t="shared" si="23"/>
        <v>0</v>
      </c>
      <c r="AN9" s="1">
        <f t="shared" si="0"/>
        <v>0</v>
      </c>
      <c r="AO9" s="1">
        <f t="shared" si="0"/>
        <v>0</v>
      </c>
      <c r="AP9" s="1">
        <f t="shared" si="0"/>
        <v>0</v>
      </c>
      <c r="AQ9" s="1">
        <f t="shared" si="0"/>
        <v>0</v>
      </c>
      <c r="AR9" s="1">
        <f t="shared" si="0"/>
        <v>0</v>
      </c>
      <c r="AS9" s="1">
        <f t="shared" si="0"/>
        <v>0</v>
      </c>
      <c r="AT9" s="1">
        <f t="shared" si="0"/>
        <v>0</v>
      </c>
      <c r="AU9" s="1">
        <f t="shared" si="0"/>
        <v>0</v>
      </c>
      <c r="AV9" s="1">
        <f t="shared" si="0"/>
        <v>0</v>
      </c>
      <c r="AW9" s="1">
        <f t="shared" si="0"/>
        <v>0</v>
      </c>
      <c r="AX9" s="1">
        <f t="shared" si="0"/>
        <v>0</v>
      </c>
      <c r="AY9" s="1">
        <f t="shared" si="0"/>
        <v>0</v>
      </c>
      <c r="AZ9" s="1">
        <f t="shared" si="1"/>
        <v>0</v>
      </c>
      <c r="BA9" s="1">
        <f t="shared" si="2"/>
        <v>0</v>
      </c>
      <c r="BB9" s="1">
        <f t="shared" si="3"/>
        <v>0</v>
      </c>
      <c r="BC9" s="1">
        <f t="shared" si="4"/>
        <v>0</v>
      </c>
      <c r="BD9" s="1">
        <f t="shared" si="5"/>
        <v>0</v>
      </c>
      <c r="BE9" s="1">
        <f t="shared" si="6"/>
        <v>0</v>
      </c>
      <c r="BF9" s="1">
        <f t="shared" si="7"/>
        <v>0</v>
      </c>
      <c r="BG9" s="2">
        <f t="shared" si="8"/>
        <v>0</v>
      </c>
      <c r="BH9" s="2">
        <f t="shared" si="9"/>
        <v>0</v>
      </c>
      <c r="BI9" s="2">
        <f t="shared" si="10"/>
        <v>0</v>
      </c>
      <c r="BJ9" s="2">
        <f t="shared" si="11"/>
        <v>0</v>
      </c>
      <c r="BK9" s="2">
        <f t="shared" si="12"/>
        <v>0</v>
      </c>
      <c r="BL9" s="2">
        <f t="shared" si="13"/>
        <v>0</v>
      </c>
      <c r="BM9" s="2">
        <f t="shared" si="14"/>
        <v>0</v>
      </c>
      <c r="BN9" s="2">
        <f t="shared" si="15"/>
        <v>0</v>
      </c>
      <c r="BO9" s="2">
        <f t="shared" si="16"/>
        <v>0</v>
      </c>
      <c r="BP9" s="2">
        <f t="shared" si="17"/>
        <v>0</v>
      </c>
      <c r="BQ9">
        <f t="shared" si="18"/>
        <v>0</v>
      </c>
      <c r="BR9">
        <f t="shared" si="19"/>
        <v>0</v>
      </c>
      <c r="BS9">
        <f t="shared" si="20"/>
        <v>0</v>
      </c>
      <c r="BT9">
        <f t="shared" si="21"/>
        <v>0</v>
      </c>
      <c r="BU9">
        <f t="shared" si="22"/>
        <v>0</v>
      </c>
      <c r="BV9" s="9">
        <v>11002</v>
      </c>
    </row>
    <row r="10" spans="1:74" x14ac:dyDescent="0.25">
      <c r="A10" s="9">
        <v>11011</v>
      </c>
      <c r="B10" s="4">
        <v>0</v>
      </c>
      <c r="C10" s="4">
        <f>19*1*0.01</f>
        <v>0.19</v>
      </c>
      <c r="D10" s="4">
        <f>19*1*(1-0.01)</f>
        <v>18.809999999999999</v>
      </c>
      <c r="E10" s="4">
        <v>0</v>
      </c>
      <c r="F10" s="4">
        <v>0</v>
      </c>
      <c r="G10" s="4">
        <v>0</v>
      </c>
      <c r="H10" s="4">
        <v>0</v>
      </c>
      <c r="I10" s="4">
        <f>19*0.01</f>
        <v>0.19</v>
      </c>
      <c r="J10" s="4">
        <f>-SUM(B10:I10)-SUM(K10:AJ10)</f>
        <v>-75</v>
      </c>
      <c r="K10" s="4">
        <f>(3+19*(1-0.01))</f>
        <v>21.81</v>
      </c>
      <c r="L10" s="4">
        <v>0</v>
      </c>
      <c r="M10" s="4">
        <v>0</v>
      </c>
      <c r="N10" s="4">
        <v>0</v>
      </c>
      <c r="O10" s="4">
        <f>7*(1-0.05)*1*1</f>
        <v>6.6499999999999995</v>
      </c>
      <c r="P10" s="4">
        <f>5*(1-0.03)*1</f>
        <v>4.8499999999999996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5">
        <v>0</v>
      </c>
      <c r="W10" s="5">
        <f>11*2*1</f>
        <v>22</v>
      </c>
      <c r="X10" s="5">
        <v>0</v>
      </c>
      <c r="Y10" s="5">
        <v>0</v>
      </c>
      <c r="Z10" s="5">
        <v>0</v>
      </c>
      <c r="AA10" s="5">
        <f>5*0.03*1*1</f>
        <v>0.15</v>
      </c>
      <c r="AB10" s="5">
        <f>7*0.05*1*1</f>
        <v>0.35000000000000003</v>
      </c>
      <c r="AC10" s="5">
        <v>0</v>
      </c>
      <c r="AD10" s="5">
        <v>0</v>
      </c>
      <c r="AE10" s="5">
        <v>0</v>
      </c>
      <c r="AF10" s="3"/>
      <c r="AG10" s="3"/>
      <c r="AH10" s="3"/>
      <c r="AI10" s="3"/>
      <c r="AJ10" s="3"/>
      <c r="AK10" s="9">
        <v>11011</v>
      </c>
      <c r="AM10" s="1">
        <f t="shared" si="23"/>
        <v>0</v>
      </c>
      <c r="AN10" s="1">
        <f t="shared" si="0"/>
        <v>0</v>
      </c>
      <c r="AO10" s="1">
        <f t="shared" si="0"/>
        <v>0</v>
      </c>
      <c r="AP10" s="1">
        <f t="shared" si="0"/>
        <v>0</v>
      </c>
      <c r="AQ10" s="1">
        <f t="shared" si="0"/>
        <v>0</v>
      </c>
      <c r="AR10" s="1">
        <f t="shared" si="0"/>
        <v>0</v>
      </c>
      <c r="AS10" s="1">
        <f t="shared" si="0"/>
        <v>0</v>
      </c>
      <c r="AT10" s="1">
        <f t="shared" si="0"/>
        <v>0</v>
      </c>
      <c r="AU10" s="1">
        <f t="shared" si="0"/>
        <v>0</v>
      </c>
      <c r="AV10" s="1">
        <f t="shared" si="0"/>
        <v>0</v>
      </c>
      <c r="AW10" s="1">
        <f t="shared" si="0"/>
        <v>0</v>
      </c>
      <c r="AX10" s="1">
        <f t="shared" si="0"/>
        <v>0</v>
      </c>
      <c r="AY10" s="1">
        <f t="shared" si="0"/>
        <v>0</v>
      </c>
      <c r="AZ10" s="1">
        <f t="shared" si="1"/>
        <v>0</v>
      </c>
      <c r="BA10" s="1">
        <f t="shared" si="2"/>
        <v>0</v>
      </c>
      <c r="BB10" s="1">
        <f t="shared" si="3"/>
        <v>0</v>
      </c>
      <c r="BC10" s="1">
        <f t="shared" si="4"/>
        <v>0</v>
      </c>
      <c r="BD10" s="1">
        <f t="shared" si="5"/>
        <v>0</v>
      </c>
      <c r="BE10" s="1">
        <f t="shared" si="6"/>
        <v>0</v>
      </c>
      <c r="BF10" s="1">
        <f t="shared" si="7"/>
        <v>0</v>
      </c>
      <c r="BG10" s="2">
        <f t="shared" si="8"/>
        <v>0</v>
      </c>
      <c r="BH10" s="2">
        <f t="shared" si="9"/>
        <v>0</v>
      </c>
      <c r="BI10" s="2">
        <f t="shared" si="10"/>
        <v>0</v>
      </c>
      <c r="BJ10" s="2">
        <f t="shared" si="11"/>
        <v>0</v>
      </c>
      <c r="BK10" s="2">
        <f t="shared" si="12"/>
        <v>0</v>
      </c>
      <c r="BL10" s="2">
        <f t="shared" si="13"/>
        <v>0</v>
      </c>
      <c r="BM10" s="2">
        <f t="shared" si="14"/>
        <v>0</v>
      </c>
      <c r="BN10" s="2">
        <f t="shared" si="15"/>
        <v>0</v>
      </c>
      <c r="BO10" s="2">
        <f t="shared" si="16"/>
        <v>0</v>
      </c>
      <c r="BP10" s="2">
        <f t="shared" si="17"/>
        <v>0</v>
      </c>
      <c r="BQ10">
        <f t="shared" si="18"/>
        <v>0</v>
      </c>
      <c r="BR10">
        <f t="shared" si="19"/>
        <v>0</v>
      </c>
      <c r="BS10">
        <f t="shared" si="20"/>
        <v>0</v>
      </c>
      <c r="BT10">
        <f t="shared" si="21"/>
        <v>0</v>
      </c>
      <c r="BU10">
        <f t="shared" si="22"/>
        <v>0</v>
      </c>
      <c r="BV10" s="9">
        <v>11011</v>
      </c>
    </row>
    <row r="11" spans="1:74" x14ac:dyDescent="0.25">
      <c r="A11" s="9">
        <v>11020</v>
      </c>
      <c r="B11" s="4">
        <v>0</v>
      </c>
      <c r="C11" s="4">
        <v>0</v>
      </c>
      <c r="D11" s="4">
        <f>19*1*0.01</f>
        <v>0.19</v>
      </c>
      <c r="E11" s="4">
        <f>19*1*(1-0.01)</f>
        <v>18.809999999999999</v>
      </c>
      <c r="F11" s="4">
        <v>0</v>
      </c>
      <c r="G11" s="4">
        <v>0</v>
      </c>
      <c r="H11" s="4">
        <v>0</v>
      </c>
      <c r="I11" s="4">
        <v>0</v>
      </c>
      <c r="J11" s="4">
        <f>19*2*0.01</f>
        <v>0.38</v>
      </c>
      <c r="K11" s="4">
        <f>-SUM(B11:J11)-SUM(L11:AJ11)</f>
        <v>-51.379999999999995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f>5*(1-0.03)*2</f>
        <v>9.6999999999999993</v>
      </c>
      <c r="R11" s="4">
        <v>0</v>
      </c>
      <c r="S11" s="4">
        <v>0</v>
      </c>
      <c r="T11" s="4">
        <v>0</v>
      </c>
      <c r="U11" s="4">
        <v>0</v>
      </c>
      <c r="V11" s="5">
        <v>0</v>
      </c>
      <c r="W11" s="5">
        <v>0</v>
      </c>
      <c r="X11" s="5">
        <f>11*2*1</f>
        <v>22</v>
      </c>
      <c r="Y11" s="5">
        <v>0</v>
      </c>
      <c r="Z11" s="5">
        <v>0</v>
      </c>
      <c r="AA11" s="5">
        <v>0</v>
      </c>
      <c r="AB11" s="5">
        <f>5*0.03*2*1</f>
        <v>0.3</v>
      </c>
      <c r="AC11" s="5">
        <v>0</v>
      </c>
      <c r="AD11" s="5">
        <v>0</v>
      </c>
      <c r="AE11" s="5">
        <v>0</v>
      </c>
      <c r="AF11" s="3"/>
      <c r="AG11" s="3"/>
      <c r="AH11" s="3"/>
      <c r="AI11" s="3"/>
      <c r="AJ11" s="3"/>
      <c r="AK11" s="9">
        <v>11020</v>
      </c>
      <c r="AM11" s="1">
        <f t="shared" si="23"/>
        <v>0</v>
      </c>
      <c r="AN11" s="1">
        <f t="shared" si="0"/>
        <v>0</v>
      </c>
      <c r="AO11" s="1">
        <f t="shared" si="0"/>
        <v>0</v>
      </c>
      <c r="AP11" s="1">
        <f t="shared" si="0"/>
        <v>0</v>
      </c>
      <c r="AQ11" s="1">
        <f t="shared" si="0"/>
        <v>0</v>
      </c>
      <c r="AR11" s="1">
        <f t="shared" si="0"/>
        <v>0</v>
      </c>
      <c r="AS11" s="1">
        <f t="shared" si="0"/>
        <v>0</v>
      </c>
      <c r="AT11" s="1">
        <f t="shared" si="0"/>
        <v>0</v>
      </c>
      <c r="AU11" s="1">
        <f t="shared" si="0"/>
        <v>0</v>
      </c>
      <c r="AV11" s="1">
        <f t="shared" si="0"/>
        <v>0</v>
      </c>
      <c r="AW11" s="1">
        <f t="shared" si="0"/>
        <v>0</v>
      </c>
      <c r="AX11" s="1">
        <f t="shared" si="0"/>
        <v>0</v>
      </c>
      <c r="AY11" s="1">
        <f t="shared" si="0"/>
        <v>0</v>
      </c>
      <c r="AZ11" s="1">
        <f t="shared" si="1"/>
        <v>0</v>
      </c>
      <c r="BA11" s="1">
        <f t="shared" si="2"/>
        <v>0</v>
      </c>
      <c r="BB11" s="1">
        <f t="shared" si="3"/>
        <v>0</v>
      </c>
      <c r="BC11" s="1">
        <f t="shared" si="4"/>
        <v>0</v>
      </c>
      <c r="BD11" s="1">
        <f t="shared" si="5"/>
        <v>0</v>
      </c>
      <c r="BE11" s="1">
        <f t="shared" si="6"/>
        <v>0</v>
      </c>
      <c r="BF11" s="1">
        <f t="shared" si="7"/>
        <v>0</v>
      </c>
      <c r="BG11" s="2">
        <f t="shared" si="8"/>
        <v>0</v>
      </c>
      <c r="BH11" s="2">
        <f t="shared" si="9"/>
        <v>0</v>
      </c>
      <c r="BI11" s="2">
        <f t="shared" si="10"/>
        <v>0</v>
      </c>
      <c r="BJ11" s="2">
        <f t="shared" si="11"/>
        <v>0</v>
      </c>
      <c r="BK11" s="2">
        <f t="shared" si="12"/>
        <v>0</v>
      </c>
      <c r="BL11" s="2">
        <f t="shared" si="13"/>
        <v>0</v>
      </c>
      <c r="BM11" s="2">
        <f t="shared" si="14"/>
        <v>0</v>
      </c>
      <c r="BN11" s="2">
        <f t="shared" si="15"/>
        <v>0</v>
      </c>
      <c r="BO11" s="2">
        <f t="shared" si="16"/>
        <v>0</v>
      </c>
      <c r="BP11" s="2">
        <f t="shared" si="17"/>
        <v>0</v>
      </c>
      <c r="BQ11">
        <f t="shared" si="18"/>
        <v>0</v>
      </c>
      <c r="BR11">
        <f t="shared" si="19"/>
        <v>0</v>
      </c>
      <c r="BS11">
        <f t="shared" si="20"/>
        <v>0</v>
      </c>
      <c r="BT11">
        <f t="shared" si="21"/>
        <v>0</v>
      </c>
      <c r="BU11">
        <f t="shared" si="22"/>
        <v>0</v>
      </c>
      <c r="BV11" s="9">
        <v>11020</v>
      </c>
    </row>
    <row r="12" spans="1:74" x14ac:dyDescent="0.25">
      <c r="A12" s="9">
        <v>10201</v>
      </c>
      <c r="B12" s="4">
        <v>0</v>
      </c>
      <c r="C12" s="4">
        <v>0</v>
      </c>
      <c r="D12" s="4">
        <v>0</v>
      </c>
      <c r="E12" s="4">
        <v>0</v>
      </c>
      <c r="F12" s="4">
        <f>19*2*0.01</f>
        <v>0.38</v>
      </c>
      <c r="G12" s="4">
        <f>19*2*(1-0.01)</f>
        <v>37.619999999999997</v>
      </c>
      <c r="H12" s="4">
        <v>0</v>
      </c>
      <c r="I12" s="4">
        <v>0</v>
      </c>
      <c r="J12" s="4">
        <v>0</v>
      </c>
      <c r="K12" s="4">
        <v>0</v>
      </c>
      <c r="L12" s="4">
        <f>-SUM(B12:K12)-SUM(M12:AJ12)</f>
        <v>-118.80999999999999</v>
      </c>
      <c r="M12" s="4">
        <f>3+19*(1-0.01)</f>
        <v>21.81</v>
      </c>
      <c r="N12" s="4">
        <v>0</v>
      </c>
      <c r="O12" s="4">
        <v>0</v>
      </c>
      <c r="P12" s="4">
        <v>0</v>
      </c>
      <c r="Q12" s="4">
        <v>0</v>
      </c>
      <c r="R12" s="4">
        <f>7*(1-0.05)*1</f>
        <v>6.6499999999999995</v>
      </c>
      <c r="S12" s="4">
        <v>0</v>
      </c>
      <c r="T12" s="4">
        <v>0</v>
      </c>
      <c r="U12" s="4">
        <v>0</v>
      </c>
      <c r="V12" s="5">
        <v>0</v>
      </c>
      <c r="W12" s="5">
        <v>0</v>
      </c>
      <c r="X12" s="5">
        <v>0</v>
      </c>
      <c r="Y12" s="5">
        <f>13*2*2</f>
        <v>52</v>
      </c>
      <c r="Z12" s="5">
        <v>0</v>
      </c>
      <c r="AA12" s="5">
        <v>0</v>
      </c>
      <c r="AB12" s="5">
        <v>0</v>
      </c>
      <c r="AC12" s="5">
        <f>7*0.05*1*1</f>
        <v>0.35000000000000003</v>
      </c>
      <c r="AD12" s="5">
        <v>0</v>
      </c>
      <c r="AE12" s="5">
        <v>0</v>
      </c>
      <c r="AF12" s="3"/>
      <c r="AG12" s="3"/>
      <c r="AH12" s="3"/>
      <c r="AI12" s="3"/>
      <c r="AJ12" s="3"/>
      <c r="AK12" s="9">
        <v>10201</v>
      </c>
      <c r="AM12" s="1">
        <f t="shared" si="23"/>
        <v>0</v>
      </c>
      <c r="AN12" s="1">
        <f t="shared" si="0"/>
        <v>0</v>
      </c>
      <c r="AO12" s="1">
        <f t="shared" si="0"/>
        <v>0</v>
      </c>
      <c r="AP12" s="1">
        <f t="shared" si="0"/>
        <v>0</v>
      </c>
      <c r="AQ12" s="1">
        <f t="shared" si="0"/>
        <v>0</v>
      </c>
      <c r="AR12" s="1">
        <f t="shared" si="0"/>
        <v>0</v>
      </c>
      <c r="AS12" s="1">
        <f t="shared" si="0"/>
        <v>0</v>
      </c>
      <c r="AT12" s="1">
        <f t="shared" si="0"/>
        <v>0</v>
      </c>
      <c r="AU12" s="1">
        <f t="shared" si="0"/>
        <v>0</v>
      </c>
      <c r="AV12" s="1">
        <f t="shared" si="0"/>
        <v>0</v>
      </c>
      <c r="AW12" s="1">
        <f t="shared" si="0"/>
        <v>0</v>
      </c>
      <c r="AX12" s="1">
        <f t="shared" si="0"/>
        <v>0</v>
      </c>
      <c r="AY12" s="1">
        <f t="shared" si="0"/>
        <v>0</v>
      </c>
      <c r="AZ12" s="1">
        <f t="shared" si="1"/>
        <v>0</v>
      </c>
      <c r="BA12" s="1">
        <f t="shared" si="2"/>
        <v>0</v>
      </c>
      <c r="BB12" s="1">
        <f t="shared" si="3"/>
        <v>0</v>
      </c>
      <c r="BC12" s="1">
        <f t="shared" si="4"/>
        <v>0</v>
      </c>
      <c r="BD12" s="1">
        <f t="shared" si="5"/>
        <v>0</v>
      </c>
      <c r="BE12" s="1">
        <f t="shared" si="6"/>
        <v>0</v>
      </c>
      <c r="BF12" s="1">
        <f t="shared" si="7"/>
        <v>0</v>
      </c>
      <c r="BG12" s="2">
        <f t="shared" si="8"/>
        <v>0</v>
      </c>
      <c r="BH12" s="2">
        <f t="shared" si="9"/>
        <v>0</v>
      </c>
      <c r="BI12" s="2">
        <f t="shared" si="10"/>
        <v>0</v>
      </c>
      <c r="BJ12" s="2">
        <f t="shared" si="11"/>
        <v>0</v>
      </c>
      <c r="BK12" s="2">
        <f t="shared" si="12"/>
        <v>0</v>
      </c>
      <c r="BL12" s="2">
        <f t="shared" si="13"/>
        <v>0</v>
      </c>
      <c r="BM12" s="2">
        <f t="shared" si="14"/>
        <v>0</v>
      </c>
      <c r="BN12" s="2">
        <f t="shared" si="15"/>
        <v>0</v>
      </c>
      <c r="BO12" s="2">
        <f t="shared" si="16"/>
        <v>0</v>
      </c>
      <c r="BP12" s="2">
        <f t="shared" si="17"/>
        <v>0</v>
      </c>
      <c r="BQ12">
        <f t="shared" si="18"/>
        <v>0</v>
      </c>
      <c r="BR12">
        <f t="shared" si="19"/>
        <v>0</v>
      </c>
      <c r="BS12">
        <f t="shared" si="20"/>
        <v>0</v>
      </c>
      <c r="BT12">
        <f t="shared" si="21"/>
        <v>0</v>
      </c>
      <c r="BU12">
        <f t="shared" si="22"/>
        <v>0</v>
      </c>
      <c r="BV12" s="9">
        <v>10201</v>
      </c>
    </row>
    <row r="13" spans="1:74" x14ac:dyDescent="0.25">
      <c r="A13" s="9">
        <v>10210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f>19*2*0.01</f>
        <v>0.38</v>
      </c>
      <c r="H13" s="4">
        <f>19*2*(1-0.01)</f>
        <v>37.619999999999997</v>
      </c>
      <c r="I13" s="4">
        <v>0</v>
      </c>
      <c r="J13" s="4">
        <v>0</v>
      </c>
      <c r="K13" s="4">
        <v>0</v>
      </c>
      <c r="L13" s="4">
        <f>19*0.01</f>
        <v>0.19</v>
      </c>
      <c r="M13" s="4">
        <f>-SUM(B13:L13)-SUM(N13:AJ13)</f>
        <v>-95.19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f>5*(1-0.03)*1</f>
        <v>4.8499999999999996</v>
      </c>
      <c r="T13" s="4">
        <v>0</v>
      </c>
      <c r="U13" s="4">
        <v>0</v>
      </c>
      <c r="V13" s="5">
        <v>0</v>
      </c>
      <c r="W13" s="5">
        <v>0</v>
      </c>
      <c r="X13" s="5">
        <v>0</v>
      </c>
      <c r="Y13" s="5">
        <v>0</v>
      </c>
      <c r="Z13" s="5">
        <f>13*2*2</f>
        <v>52</v>
      </c>
      <c r="AA13" s="5">
        <v>0</v>
      </c>
      <c r="AB13" s="5">
        <v>0</v>
      </c>
      <c r="AC13" s="5">
        <f>5*0.03*1*1</f>
        <v>0.15</v>
      </c>
      <c r="AD13" s="5">
        <v>0</v>
      </c>
      <c r="AE13" s="5">
        <v>0</v>
      </c>
      <c r="AF13" s="3"/>
      <c r="AG13" s="3"/>
      <c r="AH13" s="3"/>
      <c r="AI13" s="3"/>
      <c r="AJ13" s="3"/>
      <c r="AK13" s="9">
        <v>10210</v>
      </c>
      <c r="AM13" s="1">
        <f t="shared" si="23"/>
        <v>0</v>
      </c>
      <c r="AN13" s="1">
        <f t="shared" si="0"/>
        <v>0</v>
      </c>
      <c r="AO13" s="1">
        <f t="shared" si="0"/>
        <v>0</v>
      </c>
      <c r="AP13" s="1">
        <f t="shared" si="0"/>
        <v>0</v>
      </c>
      <c r="AQ13" s="1">
        <f t="shared" si="0"/>
        <v>0</v>
      </c>
      <c r="AR13" s="1">
        <f t="shared" si="0"/>
        <v>0</v>
      </c>
      <c r="AS13" s="1">
        <f t="shared" si="0"/>
        <v>0</v>
      </c>
      <c r="AT13" s="1">
        <f t="shared" si="0"/>
        <v>0</v>
      </c>
      <c r="AU13" s="1">
        <f t="shared" si="0"/>
        <v>0</v>
      </c>
      <c r="AV13" s="1">
        <f t="shared" si="0"/>
        <v>0</v>
      </c>
      <c r="AW13" s="1">
        <f t="shared" si="0"/>
        <v>0</v>
      </c>
      <c r="AX13" s="1">
        <f t="shared" si="0"/>
        <v>0</v>
      </c>
      <c r="AY13" s="1">
        <f t="shared" si="0"/>
        <v>0</v>
      </c>
      <c r="AZ13" s="1">
        <f t="shared" si="1"/>
        <v>0</v>
      </c>
      <c r="BA13" s="1">
        <f t="shared" si="2"/>
        <v>0</v>
      </c>
      <c r="BB13" s="1">
        <f t="shared" si="3"/>
        <v>0</v>
      </c>
      <c r="BC13" s="1">
        <f t="shared" si="4"/>
        <v>0</v>
      </c>
      <c r="BD13" s="1">
        <f t="shared" si="5"/>
        <v>0</v>
      </c>
      <c r="BE13" s="1">
        <f t="shared" si="6"/>
        <v>0</v>
      </c>
      <c r="BF13" s="1">
        <f t="shared" si="7"/>
        <v>0</v>
      </c>
      <c r="BG13" s="2">
        <f t="shared" si="8"/>
        <v>0</v>
      </c>
      <c r="BH13" s="2">
        <f t="shared" si="9"/>
        <v>0</v>
      </c>
      <c r="BI13" s="2">
        <f t="shared" si="10"/>
        <v>0</v>
      </c>
      <c r="BJ13" s="2">
        <f t="shared" si="11"/>
        <v>0</v>
      </c>
      <c r="BK13" s="2">
        <f t="shared" si="12"/>
        <v>0</v>
      </c>
      <c r="BL13" s="2">
        <f t="shared" si="13"/>
        <v>0</v>
      </c>
      <c r="BM13" s="2">
        <f t="shared" si="14"/>
        <v>0</v>
      </c>
      <c r="BN13" s="2">
        <f t="shared" si="15"/>
        <v>0</v>
      </c>
      <c r="BO13" s="2">
        <f t="shared" si="16"/>
        <v>0</v>
      </c>
      <c r="BP13" s="2">
        <f t="shared" si="17"/>
        <v>0</v>
      </c>
      <c r="BQ13">
        <f t="shared" si="18"/>
        <v>0</v>
      </c>
      <c r="BR13">
        <f t="shared" si="19"/>
        <v>0</v>
      </c>
      <c r="BS13">
        <f t="shared" si="20"/>
        <v>0</v>
      </c>
      <c r="BT13">
        <f t="shared" si="21"/>
        <v>0</v>
      </c>
      <c r="BU13">
        <f t="shared" si="22"/>
        <v>0</v>
      </c>
      <c r="BV13" s="9">
        <v>10210</v>
      </c>
    </row>
    <row r="14" spans="1:74" x14ac:dyDescent="0.25">
      <c r="A14" s="9">
        <v>11101</v>
      </c>
      <c r="B14" s="4">
        <v>0</v>
      </c>
      <c r="C14" s="4">
        <v>0</v>
      </c>
      <c r="D14" s="4">
        <v>0</v>
      </c>
      <c r="E14" s="4">
        <v>0</v>
      </c>
      <c r="F14" s="4">
        <f>19*1*0.01</f>
        <v>0.19</v>
      </c>
      <c r="G14" s="4">
        <f>19*1*(1-0.01)</f>
        <v>18.809999999999999</v>
      </c>
      <c r="H14" s="4">
        <v>0</v>
      </c>
      <c r="I14" s="4">
        <f>19*1*0.01</f>
        <v>0.19</v>
      </c>
      <c r="J14" s="4">
        <f>19*1*(1-0.01)</f>
        <v>18.809999999999999</v>
      </c>
      <c r="K14" s="4">
        <v>0</v>
      </c>
      <c r="L14" s="4">
        <v>0</v>
      </c>
      <c r="M14" s="4">
        <v>0</v>
      </c>
      <c r="N14" s="4">
        <f>-SUM(B14:M14)-SUM(O14:AJ14)</f>
        <v>-114.80999999999999</v>
      </c>
      <c r="O14" s="4">
        <f>3+19*(1-0.01)</f>
        <v>21.81</v>
      </c>
      <c r="P14" s="4">
        <v>0</v>
      </c>
      <c r="Q14" s="4">
        <v>0</v>
      </c>
      <c r="R14" s="4">
        <v>0</v>
      </c>
      <c r="S14" s="4">
        <f>7*(1-0.05)*1</f>
        <v>6.6499999999999995</v>
      </c>
      <c r="T14" s="4">
        <v>0</v>
      </c>
      <c r="U14" s="4">
        <v>0</v>
      </c>
      <c r="V14" s="5">
        <v>0</v>
      </c>
      <c r="W14" s="5">
        <v>0</v>
      </c>
      <c r="X14" s="5">
        <v>0</v>
      </c>
      <c r="Y14" s="5">
        <f>11*2*1</f>
        <v>22</v>
      </c>
      <c r="Z14" s="5">
        <v>0</v>
      </c>
      <c r="AA14" s="5">
        <f>13*2*1</f>
        <v>26</v>
      </c>
      <c r="AB14" s="5"/>
      <c r="AC14" s="5">
        <v>0</v>
      </c>
      <c r="AD14" s="5">
        <f>7*0.05*1*1</f>
        <v>0.35000000000000003</v>
      </c>
      <c r="AE14" s="5">
        <v>0</v>
      </c>
      <c r="AF14" s="3"/>
      <c r="AG14" s="3"/>
      <c r="AH14" s="3"/>
      <c r="AI14" s="3"/>
      <c r="AJ14" s="3"/>
      <c r="AK14" s="9">
        <v>11101</v>
      </c>
      <c r="AM14" s="1">
        <f t="shared" si="23"/>
        <v>0</v>
      </c>
      <c r="AN14" s="1">
        <f t="shared" si="0"/>
        <v>0</v>
      </c>
      <c r="AO14" s="1">
        <f t="shared" si="0"/>
        <v>0</v>
      </c>
      <c r="AP14" s="1">
        <f t="shared" si="0"/>
        <v>0</v>
      </c>
      <c r="AQ14" s="1">
        <f t="shared" si="0"/>
        <v>0</v>
      </c>
      <c r="AR14" s="1">
        <f t="shared" si="0"/>
        <v>0</v>
      </c>
      <c r="AS14" s="1">
        <f t="shared" si="0"/>
        <v>0</v>
      </c>
      <c r="AT14" s="1">
        <f t="shared" si="0"/>
        <v>0</v>
      </c>
      <c r="AU14" s="1">
        <f t="shared" si="0"/>
        <v>0</v>
      </c>
      <c r="AV14" s="1">
        <f t="shared" si="0"/>
        <v>0</v>
      </c>
      <c r="AW14" s="1">
        <f t="shared" si="0"/>
        <v>0</v>
      </c>
      <c r="AX14" s="1">
        <f t="shared" si="0"/>
        <v>0</v>
      </c>
      <c r="AY14" s="1">
        <f t="shared" si="0"/>
        <v>0</v>
      </c>
      <c r="AZ14" s="1">
        <f t="shared" si="1"/>
        <v>0</v>
      </c>
      <c r="BA14" s="1">
        <f t="shared" si="2"/>
        <v>0</v>
      </c>
      <c r="BB14" s="1">
        <f t="shared" si="3"/>
        <v>0</v>
      </c>
      <c r="BC14" s="1">
        <f t="shared" si="4"/>
        <v>0</v>
      </c>
      <c r="BD14" s="1">
        <f t="shared" si="5"/>
        <v>0</v>
      </c>
      <c r="BE14" s="1">
        <f t="shared" si="6"/>
        <v>0</v>
      </c>
      <c r="BF14" s="1">
        <f t="shared" si="7"/>
        <v>0</v>
      </c>
      <c r="BG14" s="2">
        <f t="shared" si="8"/>
        <v>0</v>
      </c>
      <c r="BH14" s="2">
        <f t="shared" si="9"/>
        <v>0</v>
      </c>
      <c r="BI14" s="2">
        <f t="shared" si="10"/>
        <v>0</v>
      </c>
      <c r="BJ14" s="2">
        <f t="shared" si="11"/>
        <v>0</v>
      </c>
      <c r="BK14" s="2">
        <f t="shared" si="12"/>
        <v>0</v>
      </c>
      <c r="BL14" s="2">
        <f t="shared" si="13"/>
        <v>0</v>
      </c>
      <c r="BM14" s="2">
        <f t="shared" si="14"/>
        <v>0</v>
      </c>
      <c r="BN14" s="2">
        <f t="shared" si="15"/>
        <v>0</v>
      </c>
      <c r="BO14" s="2">
        <f t="shared" si="16"/>
        <v>0</v>
      </c>
      <c r="BP14" s="2">
        <f t="shared" si="17"/>
        <v>0</v>
      </c>
      <c r="BQ14">
        <f t="shared" si="18"/>
        <v>0</v>
      </c>
      <c r="BR14">
        <f t="shared" si="19"/>
        <v>0</v>
      </c>
      <c r="BS14">
        <f t="shared" si="20"/>
        <v>0</v>
      </c>
      <c r="BT14">
        <f t="shared" si="21"/>
        <v>0</v>
      </c>
      <c r="BU14">
        <f t="shared" si="22"/>
        <v>0</v>
      </c>
      <c r="BV14" s="9">
        <v>11101</v>
      </c>
    </row>
    <row r="15" spans="1:74" x14ac:dyDescent="0.25">
      <c r="A15" s="9">
        <v>11110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f>19*1*0.01</f>
        <v>0.19</v>
      </c>
      <c r="H15" s="4">
        <f>19*1*(1-0.01)</f>
        <v>18.809999999999999</v>
      </c>
      <c r="I15" s="4">
        <v>0</v>
      </c>
      <c r="J15" s="4">
        <f>19*1*0.01</f>
        <v>0.19</v>
      </c>
      <c r="K15" s="4">
        <f>19*1*(1-0.01)</f>
        <v>18.809999999999999</v>
      </c>
      <c r="L15" s="4">
        <v>0</v>
      </c>
      <c r="M15" s="4">
        <v>0</v>
      </c>
      <c r="N15" s="4">
        <f>19*0.01</f>
        <v>0.19</v>
      </c>
      <c r="O15" s="4">
        <f>-SUM(B15:N15)-SUM(P15:AJ15)</f>
        <v>-91.19</v>
      </c>
      <c r="P15" s="4">
        <v>0</v>
      </c>
      <c r="Q15" s="4">
        <v>0</v>
      </c>
      <c r="R15" s="4">
        <v>0</v>
      </c>
      <c r="S15" s="4">
        <v>0</v>
      </c>
      <c r="T15" s="4">
        <f>5*(1-0.03)*1</f>
        <v>4.8499999999999996</v>
      </c>
      <c r="U15" s="4">
        <v>0</v>
      </c>
      <c r="V15" s="5">
        <v>0</v>
      </c>
      <c r="W15" s="5">
        <v>0</v>
      </c>
      <c r="X15" s="5">
        <v>0</v>
      </c>
      <c r="Y15" s="5">
        <v>0</v>
      </c>
      <c r="Z15" s="5">
        <f>11*2*1</f>
        <v>22</v>
      </c>
      <c r="AA15" s="5"/>
      <c r="AB15" s="5">
        <f>13*2*1</f>
        <v>26</v>
      </c>
      <c r="AC15" s="5">
        <v>0</v>
      </c>
      <c r="AD15" s="5">
        <f>5*0.03*1*1</f>
        <v>0.15</v>
      </c>
      <c r="AE15" s="5">
        <v>0</v>
      </c>
      <c r="AF15" s="3"/>
      <c r="AG15" s="3"/>
      <c r="AH15" s="3"/>
      <c r="AI15" s="3"/>
      <c r="AJ15" s="3"/>
      <c r="AK15" s="9">
        <v>11110</v>
      </c>
      <c r="AM15" s="1">
        <f t="shared" si="23"/>
        <v>0</v>
      </c>
      <c r="AN15" s="1">
        <f t="shared" si="0"/>
        <v>0</v>
      </c>
      <c r="AO15" s="1">
        <f t="shared" si="0"/>
        <v>0</v>
      </c>
      <c r="AP15" s="1">
        <f t="shared" si="0"/>
        <v>0</v>
      </c>
      <c r="AQ15" s="1">
        <f t="shared" si="0"/>
        <v>0</v>
      </c>
      <c r="AR15" s="1">
        <f t="shared" si="0"/>
        <v>0</v>
      </c>
      <c r="AS15" s="1">
        <f t="shared" si="0"/>
        <v>0</v>
      </c>
      <c r="AT15" s="1">
        <f t="shared" si="0"/>
        <v>0</v>
      </c>
      <c r="AU15" s="1">
        <f t="shared" si="0"/>
        <v>0</v>
      </c>
      <c r="AV15" s="1">
        <f t="shared" si="0"/>
        <v>0</v>
      </c>
      <c r="AW15" s="1">
        <f t="shared" si="0"/>
        <v>0</v>
      </c>
      <c r="AX15" s="1">
        <f t="shared" si="0"/>
        <v>0</v>
      </c>
      <c r="AY15" s="1">
        <f t="shared" si="0"/>
        <v>0</v>
      </c>
      <c r="AZ15" s="1">
        <f t="shared" si="1"/>
        <v>0</v>
      </c>
      <c r="BA15" s="1">
        <f t="shared" si="2"/>
        <v>0</v>
      </c>
      <c r="BB15" s="1">
        <f t="shared" si="3"/>
        <v>0</v>
      </c>
      <c r="BC15" s="1">
        <f t="shared" si="4"/>
        <v>0</v>
      </c>
      <c r="BD15" s="1">
        <f t="shared" si="5"/>
        <v>0</v>
      </c>
      <c r="BE15" s="1">
        <f t="shared" si="6"/>
        <v>0</v>
      </c>
      <c r="BF15" s="1">
        <f t="shared" si="7"/>
        <v>0</v>
      </c>
      <c r="BG15" s="2">
        <f t="shared" si="8"/>
        <v>0</v>
      </c>
      <c r="BH15" s="2">
        <f t="shared" si="9"/>
        <v>0</v>
      </c>
      <c r="BI15" s="2">
        <f t="shared" si="10"/>
        <v>0</v>
      </c>
      <c r="BJ15" s="2">
        <f t="shared" si="11"/>
        <v>0</v>
      </c>
      <c r="BK15" s="2">
        <f t="shared" si="12"/>
        <v>0</v>
      </c>
      <c r="BL15" s="2">
        <f t="shared" si="13"/>
        <v>0</v>
      </c>
      <c r="BM15" s="2">
        <f t="shared" si="14"/>
        <v>0</v>
      </c>
      <c r="BN15" s="2">
        <f t="shared" si="15"/>
        <v>0</v>
      </c>
      <c r="BO15" s="2">
        <f t="shared" si="16"/>
        <v>0</v>
      </c>
      <c r="BP15" s="2">
        <f t="shared" si="17"/>
        <v>0</v>
      </c>
      <c r="BQ15">
        <f t="shared" si="18"/>
        <v>0</v>
      </c>
      <c r="BR15">
        <f t="shared" si="19"/>
        <v>0</v>
      </c>
      <c r="BS15">
        <f t="shared" si="20"/>
        <v>0</v>
      </c>
      <c r="BT15">
        <f t="shared" si="21"/>
        <v>0</v>
      </c>
      <c r="BU15">
        <f t="shared" si="22"/>
        <v>0</v>
      </c>
      <c r="BV15" s="9">
        <v>11110</v>
      </c>
    </row>
    <row r="16" spans="1:74" x14ac:dyDescent="0.25">
      <c r="A16" s="9">
        <v>12001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f>19*2*0.01</f>
        <v>0.38</v>
      </c>
      <c r="J16" s="4">
        <f>19*2*(1-0.01)</f>
        <v>37.619999999999997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f>-SUM(B16:O16)-SUM(Q16:AJ16)</f>
        <v>-110.80999999999999</v>
      </c>
      <c r="Q16" s="4">
        <f>3+19*(1-0.01)</f>
        <v>21.81</v>
      </c>
      <c r="R16" s="4">
        <v>0</v>
      </c>
      <c r="S16" s="4">
        <v>0</v>
      </c>
      <c r="T16" s="4">
        <f>7*(1-0.05)*1</f>
        <v>6.6499999999999995</v>
      </c>
      <c r="U16" s="4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f>11*2*2</f>
        <v>44</v>
      </c>
      <c r="AB16" s="5">
        <v>0</v>
      </c>
      <c r="AC16" s="5">
        <v>0</v>
      </c>
      <c r="AD16" s="5">
        <v>0</v>
      </c>
      <c r="AE16" s="5">
        <f>7*0.05*1*1</f>
        <v>0.35000000000000003</v>
      </c>
      <c r="AF16" s="3"/>
      <c r="AG16" s="3"/>
      <c r="AH16" s="3"/>
      <c r="AI16" s="3"/>
      <c r="AJ16" s="3"/>
      <c r="AK16" s="9">
        <v>12001</v>
      </c>
      <c r="AM16" s="1">
        <f t="shared" si="23"/>
        <v>0</v>
      </c>
      <c r="AN16" s="1">
        <f t="shared" si="0"/>
        <v>0</v>
      </c>
      <c r="AO16" s="1">
        <f t="shared" si="0"/>
        <v>0</v>
      </c>
      <c r="AP16" s="1">
        <f t="shared" si="0"/>
        <v>0</v>
      </c>
      <c r="AQ16" s="1">
        <f t="shared" si="0"/>
        <v>0</v>
      </c>
      <c r="AR16" s="1">
        <f t="shared" si="0"/>
        <v>0</v>
      </c>
      <c r="AS16" s="1">
        <f t="shared" si="0"/>
        <v>0</v>
      </c>
      <c r="AT16" s="1">
        <f t="shared" si="0"/>
        <v>0</v>
      </c>
      <c r="AU16" s="1">
        <f t="shared" si="0"/>
        <v>0</v>
      </c>
      <c r="AV16" s="1">
        <f t="shared" si="0"/>
        <v>0</v>
      </c>
      <c r="AW16" s="1">
        <f t="shared" si="0"/>
        <v>0</v>
      </c>
      <c r="AX16" s="1">
        <f t="shared" si="0"/>
        <v>0</v>
      </c>
      <c r="AY16" s="1">
        <f t="shared" si="0"/>
        <v>0</v>
      </c>
      <c r="AZ16" s="1">
        <f t="shared" si="1"/>
        <v>0</v>
      </c>
      <c r="BA16" s="1">
        <f t="shared" si="2"/>
        <v>0</v>
      </c>
      <c r="BB16" s="1">
        <f t="shared" si="3"/>
        <v>0</v>
      </c>
      <c r="BC16" s="1">
        <f t="shared" si="4"/>
        <v>0</v>
      </c>
      <c r="BD16" s="1">
        <f t="shared" si="5"/>
        <v>0</v>
      </c>
      <c r="BE16" s="1">
        <f t="shared" si="6"/>
        <v>0</v>
      </c>
      <c r="BF16" s="1">
        <f t="shared" si="7"/>
        <v>0</v>
      </c>
      <c r="BG16" s="2">
        <f t="shared" si="8"/>
        <v>0</v>
      </c>
      <c r="BH16" s="2">
        <f t="shared" si="9"/>
        <v>0</v>
      </c>
      <c r="BI16" s="2">
        <f t="shared" si="10"/>
        <v>0</v>
      </c>
      <c r="BJ16" s="2">
        <f t="shared" si="11"/>
        <v>0</v>
      </c>
      <c r="BK16" s="2">
        <f t="shared" si="12"/>
        <v>0</v>
      </c>
      <c r="BL16" s="2">
        <f t="shared" si="13"/>
        <v>0</v>
      </c>
      <c r="BM16" s="2">
        <f t="shared" si="14"/>
        <v>0</v>
      </c>
      <c r="BN16" s="2">
        <f t="shared" si="15"/>
        <v>0</v>
      </c>
      <c r="BO16" s="2">
        <f t="shared" si="16"/>
        <v>0</v>
      </c>
      <c r="BP16" s="2">
        <f t="shared" si="17"/>
        <v>0</v>
      </c>
      <c r="BQ16">
        <f t="shared" si="18"/>
        <v>0</v>
      </c>
      <c r="BR16">
        <f t="shared" si="19"/>
        <v>0</v>
      </c>
      <c r="BS16">
        <f t="shared" si="20"/>
        <v>0</v>
      </c>
      <c r="BT16">
        <f t="shared" si="21"/>
        <v>0</v>
      </c>
      <c r="BU16">
        <f t="shared" si="22"/>
        <v>0</v>
      </c>
      <c r="BV16" s="9">
        <v>12001</v>
      </c>
    </row>
    <row r="17" spans="1:74" x14ac:dyDescent="0.25">
      <c r="A17" s="9">
        <v>12010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f>19*2*0.01</f>
        <v>0.38</v>
      </c>
      <c r="K17" s="4">
        <f>19*2*(1-0.01)</f>
        <v>37.619999999999997</v>
      </c>
      <c r="L17" s="4">
        <v>0</v>
      </c>
      <c r="M17" s="4">
        <v>0</v>
      </c>
      <c r="N17" s="4">
        <v>0</v>
      </c>
      <c r="O17" s="4">
        <v>0</v>
      </c>
      <c r="P17" s="4">
        <f>19*0.01</f>
        <v>0.19</v>
      </c>
      <c r="Q17" s="4">
        <f>-SUM(B17:P17)-SUM(R17:AJ17)</f>
        <v>-87.19</v>
      </c>
      <c r="R17" s="4">
        <v>0</v>
      </c>
      <c r="S17" s="4">
        <v>0</v>
      </c>
      <c r="T17" s="4">
        <v>0</v>
      </c>
      <c r="U17" s="4">
        <f>5*(1-0.03)*1</f>
        <v>4.8499999999999996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f>11*2*2</f>
        <v>44</v>
      </c>
      <c r="AC17" s="5">
        <v>0</v>
      </c>
      <c r="AD17" s="5">
        <v>0</v>
      </c>
      <c r="AE17" s="5">
        <f>5*0.03*1*1</f>
        <v>0.15</v>
      </c>
      <c r="AF17" s="3"/>
      <c r="AG17" s="3"/>
      <c r="AH17" s="3"/>
      <c r="AI17" s="3"/>
      <c r="AJ17" s="3"/>
      <c r="AK17" s="9">
        <v>12010</v>
      </c>
      <c r="AM17" s="1">
        <f t="shared" si="23"/>
        <v>0</v>
      </c>
      <c r="AN17" s="1">
        <f t="shared" si="0"/>
        <v>0</v>
      </c>
      <c r="AO17" s="1">
        <f t="shared" si="0"/>
        <v>0</v>
      </c>
      <c r="AP17" s="1">
        <f t="shared" si="0"/>
        <v>0</v>
      </c>
      <c r="AQ17" s="1">
        <f t="shared" si="0"/>
        <v>0</v>
      </c>
      <c r="AR17" s="1">
        <f t="shared" si="0"/>
        <v>0</v>
      </c>
      <c r="AS17" s="1">
        <f t="shared" si="0"/>
        <v>0</v>
      </c>
      <c r="AT17" s="1">
        <f t="shared" si="0"/>
        <v>0</v>
      </c>
      <c r="AU17" s="1">
        <f t="shared" si="0"/>
        <v>0</v>
      </c>
      <c r="AV17" s="1">
        <f t="shared" si="0"/>
        <v>0</v>
      </c>
      <c r="AW17" s="1">
        <f t="shared" si="0"/>
        <v>0</v>
      </c>
      <c r="AX17" s="1">
        <f t="shared" si="0"/>
        <v>0</v>
      </c>
      <c r="AY17" s="1">
        <f t="shared" si="0"/>
        <v>0</v>
      </c>
      <c r="AZ17" s="1">
        <f t="shared" si="1"/>
        <v>0</v>
      </c>
      <c r="BA17" s="1">
        <f t="shared" si="2"/>
        <v>0</v>
      </c>
      <c r="BB17" s="1">
        <f t="shared" si="3"/>
        <v>0</v>
      </c>
      <c r="BC17" s="1">
        <f t="shared" si="4"/>
        <v>0</v>
      </c>
      <c r="BD17" s="1">
        <f t="shared" si="5"/>
        <v>0</v>
      </c>
      <c r="BE17" s="1">
        <f t="shared" si="6"/>
        <v>0</v>
      </c>
      <c r="BF17" s="1">
        <f t="shared" si="7"/>
        <v>0</v>
      </c>
      <c r="BG17" s="2">
        <f t="shared" si="8"/>
        <v>0</v>
      </c>
      <c r="BH17" s="2">
        <f t="shared" si="9"/>
        <v>0</v>
      </c>
      <c r="BI17" s="2">
        <f t="shared" si="10"/>
        <v>0</v>
      </c>
      <c r="BJ17" s="2">
        <f t="shared" si="11"/>
        <v>0</v>
      </c>
      <c r="BK17" s="2">
        <f t="shared" si="12"/>
        <v>0</v>
      </c>
      <c r="BL17" s="2">
        <f t="shared" si="13"/>
        <v>0</v>
      </c>
      <c r="BM17" s="2">
        <f t="shared" si="14"/>
        <v>0</v>
      </c>
      <c r="BN17" s="2">
        <f t="shared" si="15"/>
        <v>0</v>
      </c>
      <c r="BO17" s="2">
        <f t="shared" si="16"/>
        <v>0</v>
      </c>
      <c r="BP17" s="2">
        <f t="shared" si="17"/>
        <v>0</v>
      </c>
      <c r="BQ17">
        <f t="shared" si="18"/>
        <v>0</v>
      </c>
      <c r="BR17">
        <f t="shared" si="19"/>
        <v>0</v>
      </c>
      <c r="BS17">
        <f t="shared" si="20"/>
        <v>0</v>
      </c>
      <c r="BT17">
        <f t="shared" si="21"/>
        <v>0</v>
      </c>
      <c r="BU17">
        <f t="shared" si="22"/>
        <v>0</v>
      </c>
      <c r="BV17" s="9">
        <v>12010</v>
      </c>
    </row>
    <row r="18" spans="1:74" x14ac:dyDescent="0.25">
      <c r="A18" s="9">
        <v>10300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f>19*3*0.01</f>
        <v>0.57000000000000006</v>
      </c>
      <c r="M18" s="4">
        <f>19*3*(1-0.01)</f>
        <v>56.43</v>
      </c>
      <c r="N18" s="4">
        <v>0</v>
      </c>
      <c r="O18" s="4">
        <v>0</v>
      </c>
      <c r="P18" s="4">
        <v>0</v>
      </c>
      <c r="Q18" s="4">
        <v>0</v>
      </c>
      <c r="R18" s="4">
        <f>-SUM(B18:Q18)-SUM(S18:AJ18)</f>
        <v>-135</v>
      </c>
      <c r="S18" s="4">
        <v>0</v>
      </c>
      <c r="T18" s="4">
        <v>0</v>
      </c>
      <c r="U18" s="4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f>13*2*3</f>
        <v>78</v>
      </c>
      <c r="AD18" s="5">
        <v>0</v>
      </c>
      <c r="AE18" s="5">
        <v>0</v>
      </c>
      <c r="AF18" s="3"/>
      <c r="AG18" s="3"/>
      <c r="AH18" s="3"/>
      <c r="AI18" s="3"/>
      <c r="AJ18" s="3"/>
      <c r="AK18" s="9">
        <v>10300</v>
      </c>
      <c r="AM18" s="1">
        <f t="shared" si="23"/>
        <v>0</v>
      </c>
      <c r="AN18" s="1">
        <f t="shared" si="23"/>
        <v>0</v>
      </c>
      <c r="AO18" s="1">
        <f t="shared" si="23"/>
        <v>0</v>
      </c>
      <c r="AP18" s="1">
        <f t="shared" si="23"/>
        <v>0</v>
      </c>
      <c r="AQ18" s="1">
        <f t="shared" si="23"/>
        <v>0</v>
      </c>
      <c r="AR18" s="1">
        <f t="shared" si="23"/>
        <v>0</v>
      </c>
      <c r="AS18" s="1">
        <f t="shared" si="23"/>
        <v>0</v>
      </c>
      <c r="AT18" s="1">
        <f t="shared" si="23"/>
        <v>0</v>
      </c>
      <c r="AU18" s="1">
        <f t="shared" si="23"/>
        <v>0</v>
      </c>
      <c r="AV18" s="1">
        <f t="shared" si="23"/>
        <v>0</v>
      </c>
      <c r="AW18" s="1">
        <f t="shared" si="23"/>
        <v>0</v>
      </c>
      <c r="AX18" s="1">
        <f t="shared" si="23"/>
        <v>0</v>
      </c>
      <c r="AY18" s="1">
        <f t="shared" si="23"/>
        <v>0</v>
      </c>
      <c r="AZ18" s="1">
        <f t="shared" si="1"/>
        <v>0</v>
      </c>
      <c r="BA18" s="1">
        <f t="shared" si="2"/>
        <v>0</v>
      </c>
      <c r="BB18" s="1">
        <f t="shared" si="3"/>
        <v>0</v>
      </c>
      <c r="BC18" s="1">
        <f t="shared" si="4"/>
        <v>0</v>
      </c>
      <c r="BD18" s="1">
        <f t="shared" si="5"/>
        <v>0</v>
      </c>
      <c r="BE18" s="1">
        <f t="shared" si="6"/>
        <v>0</v>
      </c>
      <c r="BF18" s="1">
        <f t="shared" si="7"/>
        <v>0</v>
      </c>
      <c r="BG18" s="2">
        <f t="shared" si="8"/>
        <v>0</v>
      </c>
      <c r="BH18" s="2">
        <f t="shared" si="9"/>
        <v>0</v>
      </c>
      <c r="BI18" s="2">
        <f t="shared" si="10"/>
        <v>0</v>
      </c>
      <c r="BJ18" s="2">
        <f t="shared" si="11"/>
        <v>0</v>
      </c>
      <c r="BK18" s="2">
        <f t="shared" si="12"/>
        <v>0</v>
      </c>
      <c r="BL18" s="2">
        <f t="shared" si="13"/>
        <v>0</v>
      </c>
      <c r="BM18" s="2">
        <f t="shared" si="14"/>
        <v>0</v>
      </c>
      <c r="BN18" s="2">
        <f t="shared" si="15"/>
        <v>0</v>
      </c>
      <c r="BO18" s="2">
        <f t="shared" si="16"/>
        <v>0</v>
      </c>
      <c r="BP18" s="2">
        <f t="shared" si="17"/>
        <v>0</v>
      </c>
      <c r="BQ18">
        <f t="shared" si="18"/>
        <v>0</v>
      </c>
      <c r="BR18">
        <f t="shared" si="19"/>
        <v>0</v>
      </c>
      <c r="BS18">
        <f t="shared" si="20"/>
        <v>0</v>
      </c>
      <c r="BT18">
        <f t="shared" si="21"/>
        <v>0</v>
      </c>
      <c r="BU18">
        <f t="shared" si="22"/>
        <v>0</v>
      </c>
      <c r="BV18" s="9">
        <v>10300</v>
      </c>
    </row>
    <row r="19" spans="1:74" x14ac:dyDescent="0.25">
      <c r="A19" s="9">
        <v>11200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f>19*1*0.01</f>
        <v>0.19</v>
      </c>
      <c r="M19" s="4">
        <f>19*1*(1-0.01)</f>
        <v>18.809999999999999</v>
      </c>
      <c r="N19" s="4">
        <f>19*2*0.01</f>
        <v>0.38</v>
      </c>
      <c r="O19" s="4">
        <f>19*2*(1-0.01)</f>
        <v>37.619999999999997</v>
      </c>
      <c r="P19" s="4">
        <v>0</v>
      </c>
      <c r="Q19" s="4">
        <v>0</v>
      </c>
      <c r="R19" s="4">
        <v>0</v>
      </c>
      <c r="S19" s="4">
        <f>-SUM(B19:R19)-SUM(T19:AJ19)</f>
        <v>-131</v>
      </c>
      <c r="T19" s="4">
        <v>0</v>
      </c>
      <c r="U19" s="4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f>11*2*1</f>
        <v>22</v>
      </c>
      <c r="AD19" s="5">
        <f>13*2*2</f>
        <v>52</v>
      </c>
      <c r="AE19" s="5">
        <v>0</v>
      </c>
      <c r="AF19" s="3"/>
      <c r="AG19" s="3"/>
      <c r="AH19" s="3"/>
      <c r="AI19" s="3"/>
      <c r="AJ19" s="3"/>
      <c r="AK19" s="9">
        <v>11200</v>
      </c>
      <c r="AM19" s="1">
        <f t="shared" si="23"/>
        <v>0</v>
      </c>
      <c r="AN19" s="1">
        <f t="shared" si="23"/>
        <v>0</v>
      </c>
      <c r="AO19" s="1">
        <f t="shared" si="23"/>
        <v>0</v>
      </c>
      <c r="AP19" s="1">
        <f t="shared" si="23"/>
        <v>0</v>
      </c>
      <c r="AQ19" s="1">
        <f t="shared" si="23"/>
        <v>0</v>
      </c>
      <c r="AR19" s="1">
        <f t="shared" si="23"/>
        <v>0</v>
      </c>
      <c r="AS19" s="1">
        <f t="shared" si="23"/>
        <v>0</v>
      </c>
      <c r="AT19" s="1">
        <f t="shared" si="23"/>
        <v>0</v>
      </c>
      <c r="AU19" s="1">
        <f t="shared" si="23"/>
        <v>0</v>
      </c>
      <c r="AV19" s="1">
        <f t="shared" si="23"/>
        <v>0</v>
      </c>
      <c r="AW19" s="1">
        <f t="shared" si="23"/>
        <v>0</v>
      </c>
      <c r="AX19" s="1">
        <f t="shared" si="23"/>
        <v>0</v>
      </c>
      <c r="AY19" s="1">
        <f t="shared" si="23"/>
        <v>0</v>
      </c>
      <c r="AZ19" s="1">
        <f t="shared" si="1"/>
        <v>0</v>
      </c>
      <c r="BA19" s="1">
        <f t="shared" si="2"/>
        <v>0</v>
      </c>
      <c r="BB19" s="1">
        <f t="shared" si="3"/>
        <v>0</v>
      </c>
      <c r="BC19" s="1">
        <f t="shared" si="4"/>
        <v>0</v>
      </c>
      <c r="BD19" s="1">
        <f t="shared" si="5"/>
        <v>0</v>
      </c>
      <c r="BE19" s="1">
        <f t="shared" si="6"/>
        <v>0</v>
      </c>
      <c r="BF19" s="1">
        <f t="shared" si="7"/>
        <v>0</v>
      </c>
      <c r="BG19" s="2">
        <f t="shared" si="8"/>
        <v>0</v>
      </c>
      <c r="BH19" s="2">
        <f t="shared" si="9"/>
        <v>0</v>
      </c>
      <c r="BI19" s="2">
        <f t="shared" si="10"/>
        <v>0</v>
      </c>
      <c r="BJ19" s="2">
        <f t="shared" si="11"/>
        <v>0</v>
      </c>
      <c r="BK19" s="2">
        <f t="shared" si="12"/>
        <v>0</v>
      </c>
      <c r="BL19" s="2">
        <f t="shared" si="13"/>
        <v>0</v>
      </c>
      <c r="BM19" s="2">
        <f t="shared" si="14"/>
        <v>0</v>
      </c>
      <c r="BN19" s="2">
        <f t="shared" si="15"/>
        <v>0</v>
      </c>
      <c r="BO19" s="2">
        <f t="shared" si="16"/>
        <v>0</v>
      </c>
      <c r="BP19" s="2">
        <f t="shared" si="17"/>
        <v>0</v>
      </c>
      <c r="BQ19">
        <f t="shared" si="18"/>
        <v>0</v>
      </c>
      <c r="BR19">
        <f t="shared" si="19"/>
        <v>0</v>
      </c>
      <c r="BS19">
        <f t="shared" si="20"/>
        <v>0</v>
      </c>
      <c r="BT19">
        <f t="shared" si="21"/>
        <v>0</v>
      </c>
      <c r="BU19">
        <f t="shared" si="22"/>
        <v>0</v>
      </c>
      <c r="BV19" s="9">
        <v>11200</v>
      </c>
    </row>
    <row r="20" spans="1:74" x14ac:dyDescent="0.25">
      <c r="A20" s="9">
        <v>12100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/>
      <c r="N20" s="4">
        <f>19*2*0.01</f>
        <v>0.38</v>
      </c>
      <c r="O20" s="4">
        <f>19*2*(1-0.01)</f>
        <v>37.619999999999997</v>
      </c>
      <c r="P20" s="4">
        <f>19*1*0.01</f>
        <v>0.19</v>
      </c>
      <c r="Q20" s="4">
        <f>19*1*(1-0.01)</f>
        <v>18.809999999999999</v>
      </c>
      <c r="R20" s="4">
        <v>0</v>
      </c>
      <c r="S20" s="4">
        <v>0</v>
      </c>
      <c r="T20" s="4">
        <f>-SUM(B20:S20)-SUM(U20:AJ20)</f>
        <v>-127</v>
      </c>
      <c r="U20" s="4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f>11*2*2</f>
        <v>44</v>
      </c>
      <c r="AE20" s="5">
        <f>13*2*1</f>
        <v>26</v>
      </c>
      <c r="AF20" s="3"/>
      <c r="AG20" s="3"/>
      <c r="AH20" s="3"/>
      <c r="AI20" s="3"/>
      <c r="AJ20" s="3"/>
      <c r="AK20" s="9">
        <v>12100</v>
      </c>
      <c r="AM20" s="1">
        <f t="shared" si="23"/>
        <v>0</v>
      </c>
      <c r="AN20" s="1">
        <f t="shared" si="23"/>
        <v>0</v>
      </c>
      <c r="AO20" s="1">
        <f t="shared" si="23"/>
        <v>0</v>
      </c>
      <c r="AP20" s="1">
        <f t="shared" si="23"/>
        <v>0</v>
      </c>
      <c r="AQ20" s="1">
        <f t="shared" si="23"/>
        <v>0</v>
      </c>
      <c r="AR20" s="1">
        <f t="shared" si="23"/>
        <v>0</v>
      </c>
      <c r="AS20" s="1">
        <f t="shared" si="23"/>
        <v>0</v>
      </c>
      <c r="AT20" s="1">
        <f t="shared" si="23"/>
        <v>0</v>
      </c>
      <c r="AU20" s="1">
        <f t="shared" si="23"/>
        <v>0</v>
      </c>
      <c r="AV20" s="1">
        <f t="shared" si="23"/>
        <v>0</v>
      </c>
      <c r="AW20" s="1">
        <f t="shared" si="23"/>
        <v>0</v>
      </c>
      <c r="AX20" s="1">
        <f t="shared" si="23"/>
        <v>0</v>
      </c>
      <c r="AY20" s="1">
        <f t="shared" si="23"/>
        <v>0</v>
      </c>
      <c r="AZ20" s="1">
        <f t="shared" si="1"/>
        <v>0</v>
      </c>
      <c r="BA20" s="1">
        <f t="shared" si="2"/>
        <v>0</v>
      </c>
      <c r="BB20" s="1">
        <f t="shared" si="3"/>
        <v>0</v>
      </c>
      <c r="BC20" s="1">
        <f t="shared" si="4"/>
        <v>0</v>
      </c>
      <c r="BD20" s="1">
        <f t="shared" si="5"/>
        <v>0</v>
      </c>
      <c r="BE20" s="1">
        <f t="shared" si="6"/>
        <v>0</v>
      </c>
      <c r="BF20" s="1">
        <f t="shared" si="7"/>
        <v>0</v>
      </c>
      <c r="BG20" s="2">
        <f t="shared" si="8"/>
        <v>0</v>
      </c>
      <c r="BH20" s="2">
        <f t="shared" si="9"/>
        <v>0</v>
      </c>
      <c r="BI20" s="2">
        <f t="shared" si="10"/>
        <v>0</v>
      </c>
      <c r="BJ20" s="2">
        <f t="shared" si="11"/>
        <v>0</v>
      </c>
      <c r="BK20" s="2">
        <f t="shared" si="12"/>
        <v>0</v>
      </c>
      <c r="BL20" s="2">
        <f t="shared" si="13"/>
        <v>0</v>
      </c>
      <c r="BM20" s="2">
        <f t="shared" si="14"/>
        <v>0</v>
      </c>
      <c r="BN20" s="2">
        <f t="shared" si="15"/>
        <v>0</v>
      </c>
      <c r="BO20" s="2">
        <f t="shared" si="16"/>
        <v>0</v>
      </c>
      <c r="BP20" s="2">
        <f t="shared" si="17"/>
        <v>0</v>
      </c>
      <c r="BQ20">
        <f t="shared" si="18"/>
        <v>0</v>
      </c>
      <c r="BR20">
        <f t="shared" si="19"/>
        <v>0</v>
      </c>
      <c r="BS20">
        <f t="shared" si="20"/>
        <v>0</v>
      </c>
      <c r="BT20">
        <f t="shared" si="21"/>
        <v>0</v>
      </c>
      <c r="BU20">
        <f t="shared" si="22"/>
        <v>0</v>
      </c>
      <c r="BV20" s="9">
        <v>12100</v>
      </c>
    </row>
    <row r="21" spans="1:74" x14ac:dyDescent="0.25">
      <c r="A21" s="9">
        <v>13000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f>19*3*0.01</f>
        <v>0.57000000000000006</v>
      </c>
      <c r="Q21" s="4">
        <f>19*3*(1-0.01)</f>
        <v>56.43</v>
      </c>
      <c r="R21" s="4">
        <v>0</v>
      </c>
      <c r="S21" s="4">
        <v>0</v>
      </c>
      <c r="T21" s="4">
        <v>0</v>
      </c>
      <c r="U21" s="4">
        <f>-SUM(B21:T21)-SUM(V21:AJ21)</f>
        <v>-123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f>11*2*3</f>
        <v>66</v>
      </c>
      <c r="AF21" s="3"/>
      <c r="AG21" s="3"/>
      <c r="AH21" s="3"/>
      <c r="AI21" s="3"/>
      <c r="AJ21" s="3"/>
      <c r="AK21" s="9">
        <v>13000</v>
      </c>
      <c r="AM21" s="1">
        <f t="shared" si="23"/>
        <v>0</v>
      </c>
      <c r="AN21" s="1">
        <f t="shared" si="23"/>
        <v>0</v>
      </c>
      <c r="AO21" s="1">
        <f t="shared" si="23"/>
        <v>0</v>
      </c>
      <c r="AP21" s="1">
        <f t="shared" si="23"/>
        <v>0</v>
      </c>
      <c r="AQ21" s="1">
        <f t="shared" si="23"/>
        <v>0</v>
      </c>
      <c r="AR21" s="1">
        <f t="shared" si="23"/>
        <v>0</v>
      </c>
      <c r="AS21" s="1">
        <f t="shared" si="23"/>
        <v>0</v>
      </c>
      <c r="AT21" s="1">
        <f t="shared" si="23"/>
        <v>0</v>
      </c>
      <c r="AU21" s="1">
        <f t="shared" si="23"/>
        <v>0</v>
      </c>
      <c r="AV21" s="1">
        <f t="shared" si="23"/>
        <v>0</v>
      </c>
      <c r="AW21" s="1">
        <f t="shared" si="23"/>
        <v>0</v>
      </c>
      <c r="AX21" s="1">
        <f t="shared" si="23"/>
        <v>0</v>
      </c>
      <c r="AY21" s="1">
        <f t="shared" si="23"/>
        <v>0</v>
      </c>
      <c r="AZ21" s="1">
        <f t="shared" si="1"/>
        <v>0</v>
      </c>
      <c r="BA21" s="1">
        <f t="shared" si="2"/>
        <v>0</v>
      </c>
      <c r="BB21" s="1">
        <f t="shared" si="3"/>
        <v>0</v>
      </c>
      <c r="BC21" s="1">
        <f t="shared" si="4"/>
        <v>0</v>
      </c>
      <c r="BD21" s="1">
        <f t="shared" si="5"/>
        <v>0</v>
      </c>
      <c r="BE21" s="1">
        <f t="shared" si="6"/>
        <v>0</v>
      </c>
      <c r="BF21" s="1">
        <f t="shared" si="7"/>
        <v>0</v>
      </c>
      <c r="BG21" s="2">
        <f t="shared" si="8"/>
        <v>0</v>
      </c>
      <c r="BH21" s="2">
        <f t="shared" si="9"/>
        <v>0</v>
      </c>
      <c r="BI21" s="2">
        <f t="shared" si="10"/>
        <v>0</v>
      </c>
      <c r="BJ21" s="2">
        <f t="shared" si="11"/>
        <v>0</v>
      </c>
      <c r="BK21" s="2">
        <f t="shared" si="12"/>
        <v>0</v>
      </c>
      <c r="BL21" s="2">
        <f t="shared" si="13"/>
        <v>0</v>
      </c>
      <c r="BM21" s="2">
        <f t="shared" si="14"/>
        <v>0</v>
      </c>
      <c r="BN21" s="2">
        <f t="shared" si="15"/>
        <v>0</v>
      </c>
      <c r="BO21" s="2">
        <f t="shared" si="16"/>
        <v>0</v>
      </c>
      <c r="BP21" s="2">
        <f t="shared" si="17"/>
        <v>0</v>
      </c>
      <c r="BQ21">
        <f t="shared" si="18"/>
        <v>0</v>
      </c>
      <c r="BR21">
        <f t="shared" si="19"/>
        <v>0</v>
      </c>
      <c r="BS21">
        <f t="shared" si="20"/>
        <v>0</v>
      </c>
      <c r="BT21">
        <f t="shared" si="21"/>
        <v>0</v>
      </c>
      <c r="BU21">
        <f t="shared" si="22"/>
        <v>0</v>
      </c>
      <c r="BV21" s="9">
        <v>13000</v>
      </c>
    </row>
    <row r="22" spans="1:74" x14ac:dyDescent="0.25">
      <c r="A22" s="9">
        <v>20002</v>
      </c>
      <c r="B22" s="6">
        <f>17*2*(1-0.07)*(1-0.013)+(15+19)*2*0.01</f>
        <v>31.888939999999998</v>
      </c>
      <c r="C22" s="6">
        <f>17*2*(1-0.07)*(0.013)+(15+19)*2*(1-0.01)</f>
        <v>67.731059999999999</v>
      </c>
      <c r="D22" s="6">
        <v>0</v>
      </c>
      <c r="E22" s="6">
        <v>0</v>
      </c>
      <c r="F22" s="6">
        <f>17*2*0.07*(1-0.011)</f>
        <v>2.3538200000000002</v>
      </c>
      <c r="G22" s="6">
        <v>0</v>
      </c>
      <c r="H22" s="6">
        <v>0</v>
      </c>
      <c r="I22" s="6">
        <f>17*2*0.07*0.011</f>
        <v>2.6180000000000002E-2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4">
        <f>-SUM(W22:AJ22)-SUM(B22:U22)</f>
        <v>-173.62</v>
      </c>
      <c r="W22" s="4">
        <f>(3+19*(1-0.01))*2</f>
        <v>43.62</v>
      </c>
      <c r="X22" s="4">
        <v>0</v>
      </c>
      <c r="Y22" s="4">
        <f>7*(1-0.05)*2*2</f>
        <v>26.599999999999998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5">
        <f>7*0.05*2*2</f>
        <v>1.4000000000000001</v>
      </c>
      <c r="AG22" s="5">
        <v>0</v>
      </c>
      <c r="AH22" s="5">
        <v>0</v>
      </c>
      <c r="AI22" s="5">
        <v>0</v>
      </c>
      <c r="AJ22" s="3"/>
      <c r="AK22" s="9">
        <v>20002</v>
      </c>
      <c r="AM22" s="11">
        <f t="shared" si="23"/>
        <v>0</v>
      </c>
      <c r="AN22" s="11">
        <f t="shared" si="23"/>
        <v>0</v>
      </c>
      <c r="AO22" s="11">
        <f t="shared" si="23"/>
        <v>0</v>
      </c>
      <c r="AP22" s="11">
        <f t="shared" si="23"/>
        <v>0</v>
      </c>
      <c r="AQ22" s="11">
        <f t="shared" si="23"/>
        <v>0</v>
      </c>
      <c r="AR22" s="11">
        <f t="shared" si="23"/>
        <v>0</v>
      </c>
      <c r="AS22" s="11">
        <f t="shared" si="23"/>
        <v>0</v>
      </c>
      <c r="AT22" s="11">
        <f t="shared" si="23"/>
        <v>0</v>
      </c>
      <c r="AU22" s="11">
        <f t="shared" si="23"/>
        <v>0</v>
      </c>
      <c r="AV22" s="11">
        <f t="shared" si="23"/>
        <v>0</v>
      </c>
      <c r="AW22" s="11">
        <f t="shared" si="23"/>
        <v>0</v>
      </c>
      <c r="AX22" s="11">
        <f t="shared" si="23"/>
        <v>0</v>
      </c>
      <c r="AY22" s="11">
        <f t="shared" si="23"/>
        <v>0</v>
      </c>
      <c r="AZ22" s="11">
        <f t="shared" si="1"/>
        <v>0</v>
      </c>
      <c r="BA22" s="11">
        <f t="shared" si="2"/>
        <v>0</v>
      </c>
      <c r="BB22" s="11">
        <f t="shared" si="3"/>
        <v>0</v>
      </c>
      <c r="BC22" s="11">
        <f t="shared" si="4"/>
        <v>0</v>
      </c>
      <c r="BD22" s="11">
        <f t="shared" si="5"/>
        <v>0</v>
      </c>
      <c r="BE22" s="11">
        <f t="shared" si="6"/>
        <v>0</v>
      </c>
      <c r="BF22" s="11">
        <f t="shared" si="7"/>
        <v>0</v>
      </c>
      <c r="BG22" s="1">
        <f t="shared" si="8"/>
        <v>0</v>
      </c>
      <c r="BH22" s="1">
        <f t="shared" si="9"/>
        <v>0</v>
      </c>
      <c r="BI22" s="1">
        <f t="shared" si="10"/>
        <v>0</v>
      </c>
      <c r="BJ22" s="1">
        <f t="shared" si="11"/>
        <v>0</v>
      </c>
      <c r="BK22" s="1">
        <f t="shared" si="12"/>
        <v>0</v>
      </c>
      <c r="BL22" s="1">
        <f t="shared" si="13"/>
        <v>0</v>
      </c>
      <c r="BM22" s="1">
        <f t="shared" si="14"/>
        <v>0</v>
      </c>
      <c r="BN22" s="1">
        <f t="shared" si="15"/>
        <v>0</v>
      </c>
      <c r="BO22" s="1">
        <f t="shared" si="16"/>
        <v>0</v>
      </c>
      <c r="BP22" s="1">
        <f t="shared" si="17"/>
        <v>0</v>
      </c>
      <c r="BQ22" s="2">
        <f t="shared" si="18"/>
        <v>0</v>
      </c>
      <c r="BR22" s="2">
        <f t="shared" si="19"/>
        <v>0</v>
      </c>
      <c r="BS22" s="2">
        <f t="shared" si="20"/>
        <v>0</v>
      </c>
      <c r="BT22" s="2">
        <f t="shared" si="21"/>
        <v>0</v>
      </c>
      <c r="BU22" s="12">
        <f t="shared" si="22"/>
        <v>0</v>
      </c>
      <c r="BV22" s="9">
        <v>20002</v>
      </c>
    </row>
    <row r="23" spans="1:74" x14ac:dyDescent="0.25">
      <c r="A23" s="9">
        <v>20011</v>
      </c>
      <c r="B23" s="6">
        <v>0</v>
      </c>
      <c r="C23" s="6">
        <f>17*2*(1-0.07)*(1-0.013)+(15+19)*2*0.01</f>
        <v>31.888939999999998</v>
      </c>
      <c r="D23" s="6">
        <f>17*2*(1-0.07)*(0.013)+(15+19)*2*(1-0.01)</f>
        <v>67.731059999999999</v>
      </c>
      <c r="E23" s="6">
        <v>0</v>
      </c>
      <c r="F23" s="6">
        <v>0</v>
      </c>
      <c r="G23" s="6">
        <f>17*2*0.07*(1-0.011)</f>
        <v>2.3538200000000002</v>
      </c>
      <c r="H23" s="6">
        <v>0</v>
      </c>
      <c r="I23" s="6">
        <v>0</v>
      </c>
      <c r="J23" s="6">
        <f>17*2*0.07*0.011</f>
        <v>2.6180000000000002E-2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4">
        <f>19*0.01*1</f>
        <v>0.19</v>
      </c>
      <c r="W23" s="4">
        <f>-SUM(X23:AI23)-SUM(B23:U23)-0.19</f>
        <v>-148</v>
      </c>
      <c r="X23" s="4">
        <f>(3+19*(1-0.01))*1</f>
        <v>21.81</v>
      </c>
      <c r="Y23" s="4">
        <v>0</v>
      </c>
      <c r="Z23" s="4">
        <f>7*(1-0.05)*2*1</f>
        <v>13.299999999999999</v>
      </c>
      <c r="AA23" s="4">
        <f>5*(1-0.03)*1*2</f>
        <v>9.6999999999999993</v>
      </c>
      <c r="AB23" s="4">
        <v>0</v>
      </c>
      <c r="AC23" s="4">
        <v>0</v>
      </c>
      <c r="AD23" s="4">
        <v>0</v>
      </c>
      <c r="AE23" s="4">
        <v>0</v>
      </c>
      <c r="AF23" s="5">
        <f>5*(0.03)*1*2</f>
        <v>0.3</v>
      </c>
      <c r="AG23" s="5">
        <f>7*0.05*2*1</f>
        <v>0.70000000000000007</v>
      </c>
      <c r="AH23" s="5">
        <v>0</v>
      </c>
      <c r="AI23" s="5">
        <v>0</v>
      </c>
      <c r="AJ23" s="3"/>
      <c r="AK23" s="9">
        <v>20011</v>
      </c>
      <c r="AM23" s="11">
        <f t="shared" si="23"/>
        <v>0</v>
      </c>
      <c r="AN23" s="11">
        <f t="shared" si="23"/>
        <v>0</v>
      </c>
      <c r="AO23" s="11">
        <f t="shared" si="23"/>
        <v>0</v>
      </c>
      <c r="AP23" s="11">
        <f t="shared" si="23"/>
        <v>0</v>
      </c>
      <c r="AQ23" s="11">
        <f t="shared" si="23"/>
        <v>0</v>
      </c>
      <c r="AR23" s="11">
        <f t="shared" si="23"/>
        <v>0</v>
      </c>
      <c r="AS23" s="11">
        <f t="shared" si="23"/>
        <v>0</v>
      </c>
      <c r="AT23" s="11">
        <f t="shared" si="23"/>
        <v>0</v>
      </c>
      <c r="AU23" s="11">
        <f t="shared" si="23"/>
        <v>0</v>
      </c>
      <c r="AV23" s="11">
        <f t="shared" si="23"/>
        <v>0</v>
      </c>
      <c r="AW23" s="11">
        <f t="shared" si="23"/>
        <v>0</v>
      </c>
      <c r="AX23" s="11">
        <f t="shared" si="23"/>
        <v>0</v>
      </c>
      <c r="AY23" s="11">
        <f t="shared" si="23"/>
        <v>0</v>
      </c>
      <c r="AZ23" s="11">
        <f t="shared" si="1"/>
        <v>0</v>
      </c>
      <c r="BA23" s="11">
        <f t="shared" si="2"/>
        <v>0</v>
      </c>
      <c r="BB23" s="11">
        <f t="shared" si="3"/>
        <v>0</v>
      </c>
      <c r="BC23" s="11">
        <f t="shared" si="4"/>
        <v>0</v>
      </c>
      <c r="BD23" s="11">
        <f t="shared" si="5"/>
        <v>0</v>
      </c>
      <c r="BE23" s="11">
        <f t="shared" si="6"/>
        <v>0</v>
      </c>
      <c r="BF23" s="11">
        <f t="shared" si="7"/>
        <v>0</v>
      </c>
      <c r="BG23" s="1">
        <f t="shared" si="8"/>
        <v>0</v>
      </c>
      <c r="BH23" s="1">
        <f t="shared" si="9"/>
        <v>0</v>
      </c>
      <c r="BI23" s="1">
        <f t="shared" si="10"/>
        <v>0</v>
      </c>
      <c r="BJ23" s="1">
        <f t="shared" si="11"/>
        <v>0</v>
      </c>
      <c r="BK23" s="1">
        <f t="shared" si="12"/>
        <v>0</v>
      </c>
      <c r="BL23" s="1">
        <f t="shared" si="13"/>
        <v>0</v>
      </c>
      <c r="BM23" s="1">
        <f t="shared" si="14"/>
        <v>0</v>
      </c>
      <c r="BN23" s="1">
        <f t="shared" si="15"/>
        <v>0</v>
      </c>
      <c r="BO23" s="1">
        <f t="shared" si="16"/>
        <v>0</v>
      </c>
      <c r="BP23" s="1">
        <f t="shared" si="17"/>
        <v>0</v>
      </c>
      <c r="BQ23" s="2">
        <f t="shared" si="18"/>
        <v>0</v>
      </c>
      <c r="BR23" s="2">
        <f t="shared" si="19"/>
        <v>0</v>
      </c>
      <c r="BS23" s="2">
        <f t="shared" si="20"/>
        <v>0</v>
      </c>
      <c r="BT23" s="2">
        <f t="shared" si="21"/>
        <v>0</v>
      </c>
      <c r="BU23" s="12">
        <f t="shared" si="22"/>
        <v>0</v>
      </c>
      <c r="BV23" s="9">
        <v>20011</v>
      </c>
    </row>
    <row r="24" spans="1:74" x14ac:dyDescent="0.25">
      <c r="A24" s="9">
        <v>20020</v>
      </c>
      <c r="B24" s="6">
        <v>0</v>
      </c>
      <c r="C24" s="6">
        <v>0</v>
      </c>
      <c r="D24" s="6">
        <f>17*2*(1-0.07)*(1-0.013)+(15+19)*2*0.01</f>
        <v>31.888939999999998</v>
      </c>
      <c r="E24" s="6">
        <f>17*2*(1-0.07)*(0.013)+(15+19)*2*(1-0.01)</f>
        <v>67.731059999999999</v>
      </c>
      <c r="F24" s="6">
        <v>0</v>
      </c>
      <c r="G24" s="6">
        <v>0</v>
      </c>
      <c r="H24" s="6">
        <f>17*2*0.07*(1-0.011)</f>
        <v>2.3538200000000002</v>
      </c>
      <c r="I24" s="6">
        <v>0</v>
      </c>
      <c r="J24" s="6">
        <v>0</v>
      </c>
      <c r="K24" s="6">
        <f>17*2*0.07*0.011</f>
        <v>2.6180000000000002E-2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4">
        <v>0</v>
      </c>
      <c r="W24" s="4">
        <f>19*0.01*2</f>
        <v>0.38</v>
      </c>
      <c r="X24" s="4">
        <f>-SUM(Y24:AI24)-SUM(B24:U24)-0.38</f>
        <v>-122.38</v>
      </c>
      <c r="Y24" s="4">
        <v>0</v>
      </c>
      <c r="Z24" s="4">
        <v>0</v>
      </c>
      <c r="AA24" s="4">
        <v>0</v>
      </c>
      <c r="AB24" s="4">
        <f>5*(1-0.03)*2*2</f>
        <v>19.399999999999999</v>
      </c>
      <c r="AC24" s="4">
        <v>0</v>
      </c>
      <c r="AD24" s="4">
        <v>0</v>
      </c>
      <c r="AE24" s="4">
        <v>0</v>
      </c>
      <c r="AF24" s="5">
        <v>0</v>
      </c>
      <c r="AG24" s="5">
        <f>5*(0.03)*2*2</f>
        <v>0.6</v>
      </c>
      <c r="AH24" s="5">
        <v>0</v>
      </c>
      <c r="AI24" s="5">
        <v>0</v>
      </c>
      <c r="AJ24" s="3"/>
      <c r="AK24" s="9">
        <v>20020</v>
      </c>
      <c r="AM24" s="11">
        <f t="shared" si="23"/>
        <v>0</v>
      </c>
      <c r="AN24" s="11">
        <f t="shared" si="23"/>
        <v>0</v>
      </c>
      <c r="AO24" s="11">
        <f t="shared" si="23"/>
        <v>0</v>
      </c>
      <c r="AP24" s="11">
        <f t="shared" si="23"/>
        <v>0</v>
      </c>
      <c r="AQ24" s="11">
        <f t="shared" si="23"/>
        <v>0</v>
      </c>
      <c r="AR24" s="11">
        <f t="shared" si="23"/>
        <v>0</v>
      </c>
      <c r="AS24" s="11">
        <f t="shared" si="23"/>
        <v>0</v>
      </c>
      <c r="AT24" s="11">
        <f t="shared" si="23"/>
        <v>0</v>
      </c>
      <c r="AU24" s="11">
        <f t="shared" si="23"/>
        <v>0</v>
      </c>
      <c r="AV24" s="11">
        <f t="shared" si="23"/>
        <v>0</v>
      </c>
      <c r="AW24" s="11">
        <f t="shared" si="23"/>
        <v>0</v>
      </c>
      <c r="AX24" s="11">
        <f t="shared" si="23"/>
        <v>0</v>
      </c>
      <c r="AY24" s="11">
        <f t="shared" si="23"/>
        <v>0</v>
      </c>
      <c r="AZ24" s="11">
        <f t="shared" si="1"/>
        <v>0</v>
      </c>
      <c r="BA24" s="11">
        <f t="shared" si="2"/>
        <v>0</v>
      </c>
      <c r="BB24" s="11">
        <f t="shared" si="3"/>
        <v>0</v>
      </c>
      <c r="BC24" s="11">
        <f t="shared" si="4"/>
        <v>0</v>
      </c>
      <c r="BD24" s="11">
        <f t="shared" si="5"/>
        <v>0</v>
      </c>
      <c r="BE24" s="11">
        <f t="shared" si="6"/>
        <v>0</v>
      </c>
      <c r="BF24" s="11">
        <f t="shared" si="7"/>
        <v>0</v>
      </c>
      <c r="BG24" s="1">
        <f t="shared" si="8"/>
        <v>0</v>
      </c>
      <c r="BH24" s="1">
        <f t="shared" si="9"/>
        <v>0</v>
      </c>
      <c r="BI24" s="1">
        <f t="shared" si="10"/>
        <v>0</v>
      </c>
      <c r="BJ24" s="1">
        <f t="shared" si="11"/>
        <v>0</v>
      </c>
      <c r="BK24" s="1">
        <f t="shared" si="12"/>
        <v>0</v>
      </c>
      <c r="BL24" s="1">
        <f t="shared" si="13"/>
        <v>0</v>
      </c>
      <c r="BM24" s="1">
        <f t="shared" si="14"/>
        <v>0</v>
      </c>
      <c r="BN24" s="1">
        <f t="shared" si="15"/>
        <v>0</v>
      </c>
      <c r="BO24" s="1">
        <f t="shared" si="16"/>
        <v>0</v>
      </c>
      <c r="BP24" s="1">
        <f t="shared" si="17"/>
        <v>0</v>
      </c>
      <c r="BQ24" s="2">
        <f t="shared" si="18"/>
        <v>0</v>
      </c>
      <c r="BR24" s="2">
        <f t="shared" si="19"/>
        <v>0</v>
      </c>
      <c r="BS24" s="2">
        <f t="shared" si="20"/>
        <v>0</v>
      </c>
      <c r="BT24" s="2">
        <f t="shared" si="21"/>
        <v>0</v>
      </c>
      <c r="BU24" s="12">
        <f t="shared" si="22"/>
        <v>0</v>
      </c>
      <c r="BV24" s="9">
        <v>20020</v>
      </c>
    </row>
    <row r="25" spans="1:74" x14ac:dyDescent="0.25">
      <c r="A25" s="9">
        <v>20101</v>
      </c>
      <c r="B25" s="6">
        <v>0</v>
      </c>
      <c r="C25" s="6">
        <v>0</v>
      </c>
      <c r="D25" s="6">
        <v>0</v>
      </c>
      <c r="E25" s="6">
        <v>0</v>
      </c>
      <c r="F25" s="6">
        <f>17*2*(1-0.07)*(1-0.013)+(15+19)*2*0.01</f>
        <v>31.888939999999998</v>
      </c>
      <c r="G25" s="6">
        <f>17*2*(1-0.07)*(0.013)+(15+19)*2*(1-0.01)</f>
        <v>67.731059999999999</v>
      </c>
      <c r="H25" s="6">
        <v>0</v>
      </c>
      <c r="I25" s="6">
        <v>0</v>
      </c>
      <c r="J25" s="6">
        <v>0</v>
      </c>
      <c r="K25" s="6">
        <v>0</v>
      </c>
      <c r="L25" s="6">
        <f>17*2*0.07*(1-0.011)</f>
        <v>2.3538200000000002</v>
      </c>
      <c r="M25" s="6">
        <v>0</v>
      </c>
      <c r="N25" s="6">
        <f>17*2*0.07*0.011</f>
        <v>2.6180000000000002E-2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4">
        <f>19*1*0.01</f>
        <v>0.19</v>
      </c>
      <c r="W25" s="4">
        <f>19*1*(1-0.01)</f>
        <v>18.809999999999999</v>
      </c>
      <c r="X25" s="4">
        <v>0</v>
      </c>
      <c r="Y25" s="4">
        <f>-SUM(Z25:AI25)-SUM(B25:X25)</f>
        <v>-195.81</v>
      </c>
      <c r="Z25" s="4">
        <f>(3+19*(1-0.01))*1</f>
        <v>21.81</v>
      </c>
      <c r="AA25" s="4">
        <v>0</v>
      </c>
      <c r="AB25" s="4">
        <v>0</v>
      </c>
      <c r="AC25" s="4">
        <f>7*(1-0.05)*1*2</f>
        <v>13.299999999999999</v>
      </c>
      <c r="AD25" s="4">
        <v>0</v>
      </c>
      <c r="AE25" s="4">
        <v>0</v>
      </c>
      <c r="AF25" s="5">
        <f>13*3*1</f>
        <v>39</v>
      </c>
      <c r="AG25" s="5">
        <v>0</v>
      </c>
      <c r="AH25" s="5">
        <f>7*0.05*2*1</f>
        <v>0.70000000000000007</v>
      </c>
      <c r="AI25" s="5">
        <v>0</v>
      </c>
      <c r="AJ25" s="3"/>
      <c r="AK25" s="9">
        <v>20101</v>
      </c>
      <c r="AM25" s="11">
        <f t="shared" si="23"/>
        <v>0</v>
      </c>
      <c r="AN25" s="11">
        <f t="shared" si="23"/>
        <v>0</v>
      </c>
      <c r="AO25" s="11">
        <f t="shared" si="23"/>
        <v>0</v>
      </c>
      <c r="AP25" s="11">
        <f t="shared" si="23"/>
        <v>0</v>
      </c>
      <c r="AQ25" s="11">
        <f t="shared" si="23"/>
        <v>0</v>
      </c>
      <c r="AR25" s="11">
        <f t="shared" si="23"/>
        <v>0</v>
      </c>
      <c r="AS25" s="11">
        <f t="shared" si="23"/>
        <v>0</v>
      </c>
      <c r="AT25" s="11">
        <f t="shared" si="23"/>
        <v>0</v>
      </c>
      <c r="AU25" s="11">
        <f t="shared" si="23"/>
        <v>0</v>
      </c>
      <c r="AV25" s="11">
        <f t="shared" si="23"/>
        <v>0</v>
      </c>
      <c r="AW25" s="11">
        <f t="shared" si="23"/>
        <v>0</v>
      </c>
      <c r="AX25" s="11">
        <f t="shared" si="23"/>
        <v>0</v>
      </c>
      <c r="AY25" s="11">
        <f t="shared" si="23"/>
        <v>0</v>
      </c>
      <c r="AZ25" s="11">
        <f t="shared" si="1"/>
        <v>0</v>
      </c>
      <c r="BA25" s="11">
        <f t="shared" si="2"/>
        <v>0</v>
      </c>
      <c r="BB25" s="11">
        <f t="shared" si="3"/>
        <v>0</v>
      </c>
      <c r="BC25" s="11">
        <f t="shared" si="4"/>
        <v>0</v>
      </c>
      <c r="BD25" s="11">
        <f t="shared" si="5"/>
        <v>0</v>
      </c>
      <c r="BE25" s="11">
        <f t="shared" si="6"/>
        <v>0</v>
      </c>
      <c r="BF25" s="11">
        <f t="shared" si="7"/>
        <v>0</v>
      </c>
      <c r="BG25" s="1">
        <f t="shared" si="8"/>
        <v>0</v>
      </c>
      <c r="BH25" s="1">
        <f t="shared" si="9"/>
        <v>0</v>
      </c>
      <c r="BI25" s="1">
        <f t="shared" si="10"/>
        <v>0</v>
      </c>
      <c r="BJ25" s="1">
        <f t="shared" si="11"/>
        <v>0</v>
      </c>
      <c r="BK25" s="1">
        <f t="shared" si="12"/>
        <v>0</v>
      </c>
      <c r="BL25" s="1">
        <f t="shared" si="13"/>
        <v>0</v>
      </c>
      <c r="BM25" s="1">
        <f t="shared" si="14"/>
        <v>0</v>
      </c>
      <c r="BN25" s="1">
        <f t="shared" si="15"/>
        <v>0</v>
      </c>
      <c r="BO25" s="1">
        <f t="shared" si="16"/>
        <v>0</v>
      </c>
      <c r="BP25" s="1">
        <f t="shared" si="17"/>
        <v>0</v>
      </c>
      <c r="BQ25" s="2">
        <f t="shared" si="18"/>
        <v>0</v>
      </c>
      <c r="BR25" s="2">
        <f t="shared" si="19"/>
        <v>0</v>
      </c>
      <c r="BS25" s="2">
        <f t="shared" si="20"/>
        <v>0</v>
      </c>
      <c r="BT25" s="2">
        <f t="shared" si="21"/>
        <v>0</v>
      </c>
      <c r="BU25" s="12">
        <f t="shared" si="22"/>
        <v>0</v>
      </c>
      <c r="BV25" s="9">
        <v>20101</v>
      </c>
    </row>
    <row r="26" spans="1:74" x14ac:dyDescent="0.25">
      <c r="A26" s="9">
        <v>20110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f>17*2*(1-0.07)*(1-0.013)+(15+19)*2*0.01</f>
        <v>31.888939999999998</v>
      </c>
      <c r="H26" s="6">
        <f>17*2*(1-0.07)*(0.013)+(15+19)*2*(1-0.01)</f>
        <v>67.731059999999999</v>
      </c>
      <c r="I26" s="6">
        <v>0</v>
      </c>
      <c r="J26" s="6">
        <v>0</v>
      </c>
      <c r="K26" s="6">
        <v>0</v>
      </c>
      <c r="L26" s="6">
        <v>0</v>
      </c>
      <c r="M26" s="6">
        <f>17*2*0.07*(1-0.011)</f>
        <v>2.3538200000000002</v>
      </c>
      <c r="N26" s="6">
        <v>0</v>
      </c>
      <c r="O26" s="6">
        <f>17*2*0.07*0.011</f>
        <v>2.6180000000000002E-2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4">
        <v>0</v>
      </c>
      <c r="W26" s="4">
        <f>19*1*0.01</f>
        <v>0.19</v>
      </c>
      <c r="X26" s="4">
        <f>19*1*(1-0.01)</f>
        <v>18.809999999999999</v>
      </c>
      <c r="Y26" s="4">
        <f>19*0.01*1</f>
        <v>0.19</v>
      </c>
      <c r="Z26" s="4">
        <f>-SUM(AA26:AI26)-SUM(B26:Y26)</f>
        <v>-170.19</v>
      </c>
      <c r="AA26" s="4">
        <v>0</v>
      </c>
      <c r="AB26" s="4">
        <v>0</v>
      </c>
      <c r="AC26" s="4">
        <v>0</v>
      </c>
      <c r="AD26" s="4">
        <f>5*(1-0.03)*1*2</f>
        <v>9.6999999999999993</v>
      </c>
      <c r="AE26" s="4">
        <v>0</v>
      </c>
      <c r="AF26" s="5">
        <v>0</v>
      </c>
      <c r="AG26" s="5">
        <f>13*3*1</f>
        <v>39</v>
      </c>
      <c r="AH26" s="5">
        <f>5*(0.03)*1*2</f>
        <v>0.3</v>
      </c>
      <c r="AI26" s="5">
        <v>0</v>
      </c>
      <c r="AJ26" s="3"/>
      <c r="AK26" s="9">
        <v>20110</v>
      </c>
      <c r="AM26" s="11">
        <f t="shared" si="23"/>
        <v>0</v>
      </c>
      <c r="AN26" s="11">
        <f t="shared" si="23"/>
        <v>0</v>
      </c>
      <c r="AO26" s="11">
        <f t="shared" si="23"/>
        <v>0</v>
      </c>
      <c r="AP26" s="11">
        <f t="shared" si="23"/>
        <v>0</v>
      </c>
      <c r="AQ26" s="11">
        <f t="shared" si="23"/>
        <v>0</v>
      </c>
      <c r="AR26" s="11">
        <f t="shared" si="23"/>
        <v>0</v>
      </c>
      <c r="AS26" s="11">
        <f t="shared" si="23"/>
        <v>0</v>
      </c>
      <c r="AT26" s="11">
        <f t="shared" si="23"/>
        <v>0</v>
      </c>
      <c r="AU26" s="11">
        <f t="shared" si="23"/>
        <v>0</v>
      </c>
      <c r="AV26" s="11">
        <f t="shared" si="23"/>
        <v>0</v>
      </c>
      <c r="AW26" s="11">
        <f t="shared" si="23"/>
        <v>0</v>
      </c>
      <c r="AX26" s="11">
        <f t="shared" si="23"/>
        <v>0</v>
      </c>
      <c r="AY26" s="11">
        <f t="shared" si="23"/>
        <v>0</v>
      </c>
      <c r="AZ26" s="11">
        <f t="shared" si="1"/>
        <v>0</v>
      </c>
      <c r="BA26" s="11">
        <f t="shared" si="2"/>
        <v>0</v>
      </c>
      <c r="BB26" s="11">
        <f t="shared" si="3"/>
        <v>0</v>
      </c>
      <c r="BC26" s="11">
        <f t="shared" si="4"/>
        <v>0</v>
      </c>
      <c r="BD26" s="11">
        <f t="shared" si="5"/>
        <v>0</v>
      </c>
      <c r="BE26" s="11">
        <f t="shared" si="6"/>
        <v>0</v>
      </c>
      <c r="BF26" s="11">
        <f t="shared" si="7"/>
        <v>0</v>
      </c>
      <c r="BG26" s="1">
        <f t="shared" si="8"/>
        <v>0</v>
      </c>
      <c r="BH26" s="1">
        <f t="shared" si="9"/>
        <v>0</v>
      </c>
      <c r="BI26" s="1">
        <f t="shared" si="10"/>
        <v>0</v>
      </c>
      <c r="BJ26" s="1">
        <f t="shared" si="11"/>
        <v>0</v>
      </c>
      <c r="BK26" s="1">
        <f t="shared" si="12"/>
        <v>0</v>
      </c>
      <c r="BL26" s="1">
        <f t="shared" si="13"/>
        <v>0</v>
      </c>
      <c r="BM26" s="1">
        <f t="shared" si="14"/>
        <v>0</v>
      </c>
      <c r="BN26" s="1">
        <f t="shared" si="15"/>
        <v>0</v>
      </c>
      <c r="BO26" s="1">
        <f t="shared" si="16"/>
        <v>0</v>
      </c>
      <c r="BP26" s="1">
        <f t="shared" si="17"/>
        <v>0</v>
      </c>
      <c r="BQ26" s="2">
        <f t="shared" si="18"/>
        <v>0</v>
      </c>
      <c r="BR26" s="2">
        <f t="shared" si="19"/>
        <v>0</v>
      </c>
      <c r="BS26" s="2">
        <f t="shared" si="20"/>
        <v>0</v>
      </c>
      <c r="BT26" s="2">
        <f t="shared" si="21"/>
        <v>0</v>
      </c>
      <c r="BU26" s="12">
        <f t="shared" si="22"/>
        <v>0</v>
      </c>
      <c r="BV26" s="9">
        <v>20110</v>
      </c>
    </row>
    <row r="27" spans="1:74" x14ac:dyDescent="0.25">
      <c r="A27" s="9">
        <v>21001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f>17*2*(1-0.07)*(1-0.013)+(15+19)*2*0.01</f>
        <v>31.888939999999998</v>
      </c>
      <c r="J27" s="6">
        <f>17*2*(1-0.07)*(0.013)+(15+19)*2*(1-0.01)</f>
        <v>67.731059999999999</v>
      </c>
      <c r="K27" s="6">
        <v>0</v>
      </c>
      <c r="L27" s="6">
        <v>0</v>
      </c>
      <c r="M27" s="6">
        <v>0</v>
      </c>
      <c r="N27" s="6">
        <f>17*2*0.07*(1-0.011)</f>
        <v>2.3538200000000002</v>
      </c>
      <c r="O27" s="6">
        <v>0</v>
      </c>
      <c r="P27" s="6">
        <f>17*2*0.07*0.011</f>
        <v>2.6180000000000002E-2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4">
        <f>19*1*0.01</f>
        <v>0.19</v>
      </c>
      <c r="W27" s="4">
        <f>19*1*(1-0.01)</f>
        <v>18.809999999999999</v>
      </c>
      <c r="X27" s="4">
        <v>0</v>
      </c>
      <c r="Y27" s="4">
        <v>0</v>
      </c>
      <c r="Z27" s="4">
        <v>0</v>
      </c>
      <c r="AA27" s="4">
        <f>-SUM(AB27:AI27)-SUM(B27:Z27)</f>
        <v>-189.81</v>
      </c>
      <c r="AB27" s="4">
        <f>(3+19*(1-0.01))*1</f>
        <v>21.81</v>
      </c>
      <c r="AC27" s="4">
        <v>0</v>
      </c>
      <c r="AD27" s="4">
        <f>7*(1-0.05)*1*2</f>
        <v>13.299999999999999</v>
      </c>
      <c r="AE27" s="4">
        <v>0</v>
      </c>
      <c r="AF27" s="5">
        <f>11*3*1</f>
        <v>33</v>
      </c>
      <c r="AG27" s="5">
        <v>0</v>
      </c>
      <c r="AH27" s="5">
        <v>0</v>
      </c>
      <c r="AI27" s="5">
        <f>7*0.05*2*1</f>
        <v>0.70000000000000007</v>
      </c>
      <c r="AJ27" s="3"/>
      <c r="AK27" s="9">
        <v>21001</v>
      </c>
      <c r="AM27" s="11">
        <f t="shared" si="23"/>
        <v>0</v>
      </c>
      <c r="AN27" s="11">
        <f t="shared" si="23"/>
        <v>0</v>
      </c>
      <c r="AO27" s="11">
        <f t="shared" si="23"/>
        <v>0</v>
      </c>
      <c r="AP27" s="11">
        <f t="shared" si="23"/>
        <v>0</v>
      </c>
      <c r="AQ27" s="11">
        <f t="shared" si="23"/>
        <v>0</v>
      </c>
      <c r="AR27" s="11">
        <f t="shared" si="23"/>
        <v>0</v>
      </c>
      <c r="AS27" s="11">
        <f t="shared" si="23"/>
        <v>0</v>
      </c>
      <c r="AT27" s="11">
        <f t="shared" si="23"/>
        <v>0</v>
      </c>
      <c r="AU27" s="11">
        <f t="shared" si="23"/>
        <v>0</v>
      </c>
      <c r="AV27" s="11">
        <f t="shared" si="23"/>
        <v>0</v>
      </c>
      <c r="AW27" s="11">
        <f t="shared" si="23"/>
        <v>0</v>
      </c>
      <c r="AX27" s="11">
        <f t="shared" si="23"/>
        <v>0</v>
      </c>
      <c r="AY27" s="11">
        <f t="shared" si="23"/>
        <v>0</v>
      </c>
      <c r="AZ27" s="11">
        <f t="shared" si="1"/>
        <v>0</v>
      </c>
      <c r="BA27" s="11">
        <f t="shared" si="2"/>
        <v>0</v>
      </c>
      <c r="BB27" s="11">
        <f t="shared" si="3"/>
        <v>0</v>
      </c>
      <c r="BC27" s="11">
        <f t="shared" si="4"/>
        <v>0</v>
      </c>
      <c r="BD27" s="11">
        <f t="shared" si="5"/>
        <v>0</v>
      </c>
      <c r="BE27" s="11">
        <f t="shared" si="6"/>
        <v>0</v>
      </c>
      <c r="BF27" s="11">
        <f t="shared" si="7"/>
        <v>0</v>
      </c>
      <c r="BG27" s="1">
        <f t="shared" si="8"/>
        <v>0</v>
      </c>
      <c r="BH27" s="1">
        <f t="shared" si="9"/>
        <v>0</v>
      </c>
      <c r="BI27" s="1">
        <f t="shared" si="10"/>
        <v>0</v>
      </c>
      <c r="BJ27" s="1">
        <f t="shared" si="11"/>
        <v>0</v>
      </c>
      <c r="BK27" s="1">
        <f t="shared" si="12"/>
        <v>0</v>
      </c>
      <c r="BL27" s="1">
        <f t="shared" si="13"/>
        <v>0</v>
      </c>
      <c r="BM27" s="1">
        <f t="shared" si="14"/>
        <v>0</v>
      </c>
      <c r="BN27" s="1">
        <f t="shared" si="15"/>
        <v>0</v>
      </c>
      <c r="BO27" s="1">
        <f t="shared" si="16"/>
        <v>0</v>
      </c>
      <c r="BP27" s="1">
        <f t="shared" si="17"/>
        <v>0</v>
      </c>
      <c r="BQ27" s="2">
        <f t="shared" si="18"/>
        <v>0</v>
      </c>
      <c r="BR27" s="2">
        <f t="shared" si="19"/>
        <v>0</v>
      </c>
      <c r="BS27" s="2">
        <f t="shared" si="20"/>
        <v>0</v>
      </c>
      <c r="BT27" s="2">
        <f t="shared" si="21"/>
        <v>0</v>
      </c>
      <c r="BU27" s="12">
        <f t="shared" si="22"/>
        <v>0</v>
      </c>
      <c r="BV27" s="9">
        <v>21001</v>
      </c>
    </row>
    <row r="28" spans="1:74" x14ac:dyDescent="0.25">
      <c r="A28" s="9">
        <v>21010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f>17*2*(1-0.07)*(1-0.013)+(15+19)*2*0.01</f>
        <v>31.888939999999998</v>
      </c>
      <c r="K28" s="6">
        <f>17*2*(1-0.07)*(0.013)+(15+19)*2*(1-0.01)</f>
        <v>67.731059999999999</v>
      </c>
      <c r="L28" s="6">
        <v>0</v>
      </c>
      <c r="M28" s="6">
        <v>0</v>
      </c>
      <c r="N28" s="6">
        <v>0</v>
      </c>
      <c r="O28" s="6">
        <f>17*2*0.07*(1-0.011)</f>
        <v>2.3538200000000002</v>
      </c>
      <c r="P28" s="6">
        <v>0</v>
      </c>
      <c r="Q28" s="6">
        <f>17*2*0.07*0.011</f>
        <v>2.6180000000000002E-2</v>
      </c>
      <c r="R28" s="6">
        <v>0</v>
      </c>
      <c r="S28" s="6">
        <v>0</v>
      </c>
      <c r="T28" s="6">
        <v>0</v>
      </c>
      <c r="U28" s="6">
        <v>0</v>
      </c>
      <c r="V28" s="4">
        <v>0</v>
      </c>
      <c r="W28" s="4">
        <f>19*1*0.01</f>
        <v>0.19</v>
      </c>
      <c r="X28" s="4">
        <f>19*1*(1-0.01)</f>
        <v>18.809999999999999</v>
      </c>
      <c r="Y28" s="4">
        <v>0</v>
      </c>
      <c r="Z28" s="4">
        <v>0</v>
      </c>
      <c r="AA28" s="4">
        <f>19*0.01*1</f>
        <v>0.19</v>
      </c>
      <c r="AB28" s="4">
        <f>-SUM(AC28:AI28)-SUM(B28:Z28)-0.19</f>
        <v>-164.19</v>
      </c>
      <c r="AC28" s="4">
        <v>0</v>
      </c>
      <c r="AD28" s="4">
        <v>0</v>
      </c>
      <c r="AE28" s="4">
        <f>5*(1-0.03)*1*2</f>
        <v>9.6999999999999993</v>
      </c>
      <c r="AF28" s="5">
        <v>0</v>
      </c>
      <c r="AG28" s="5">
        <f>11*3*1</f>
        <v>33</v>
      </c>
      <c r="AH28" s="5">
        <v>0</v>
      </c>
      <c r="AI28" s="5">
        <f>5*(0.03)*1*2</f>
        <v>0.3</v>
      </c>
      <c r="AJ28" s="3"/>
      <c r="AK28" s="9">
        <v>21010</v>
      </c>
      <c r="AM28" s="11">
        <f t="shared" si="23"/>
        <v>0</v>
      </c>
      <c r="AN28" s="11">
        <f t="shared" si="23"/>
        <v>0</v>
      </c>
      <c r="AO28" s="11">
        <f t="shared" si="23"/>
        <v>0</v>
      </c>
      <c r="AP28" s="11">
        <f t="shared" si="23"/>
        <v>0</v>
      </c>
      <c r="AQ28" s="11">
        <f t="shared" si="23"/>
        <v>0</v>
      </c>
      <c r="AR28" s="11">
        <f t="shared" si="23"/>
        <v>0</v>
      </c>
      <c r="AS28" s="11">
        <f t="shared" si="23"/>
        <v>0</v>
      </c>
      <c r="AT28" s="11">
        <f t="shared" si="23"/>
        <v>0</v>
      </c>
      <c r="AU28" s="11">
        <f t="shared" si="23"/>
        <v>0</v>
      </c>
      <c r="AV28" s="11">
        <f t="shared" si="23"/>
        <v>0</v>
      </c>
      <c r="AW28" s="11">
        <f t="shared" si="23"/>
        <v>0</v>
      </c>
      <c r="AX28" s="11">
        <f t="shared" si="23"/>
        <v>0</v>
      </c>
      <c r="AY28" s="11">
        <f t="shared" si="23"/>
        <v>0</v>
      </c>
      <c r="AZ28" s="11">
        <f t="shared" si="1"/>
        <v>0</v>
      </c>
      <c r="BA28" s="11">
        <f t="shared" si="2"/>
        <v>0</v>
      </c>
      <c r="BB28" s="11">
        <f t="shared" si="3"/>
        <v>0</v>
      </c>
      <c r="BC28" s="11">
        <f t="shared" si="4"/>
        <v>0</v>
      </c>
      <c r="BD28" s="11">
        <f t="shared" si="5"/>
        <v>0</v>
      </c>
      <c r="BE28" s="11">
        <f t="shared" si="6"/>
        <v>0</v>
      </c>
      <c r="BF28" s="11">
        <f t="shared" si="7"/>
        <v>0</v>
      </c>
      <c r="BG28" s="1">
        <f t="shared" si="8"/>
        <v>0</v>
      </c>
      <c r="BH28" s="1">
        <f t="shared" si="9"/>
        <v>0</v>
      </c>
      <c r="BI28" s="1">
        <f t="shared" si="10"/>
        <v>0</v>
      </c>
      <c r="BJ28" s="1">
        <f t="shared" si="11"/>
        <v>0</v>
      </c>
      <c r="BK28" s="1">
        <f t="shared" si="12"/>
        <v>0</v>
      </c>
      <c r="BL28" s="1">
        <f t="shared" si="13"/>
        <v>0</v>
      </c>
      <c r="BM28" s="1">
        <f t="shared" si="14"/>
        <v>0</v>
      </c>
      <c r="BN28" s="1">
        <f t="shared" si="15"/>
        <v>0</v>
      </c>
      <c r="BO28" s="1">
        <f t="shared" si="16"/>
        <v>0</v>
      </c>
      <c r="BP28" s="1">
        <f t="shared" si="17"/>
        <v>0</v>
      </c>
      <c r="BQ28" s="2">
        <f t="shared" si="18"/>
        <v>0</v>
      </c>
      <c r="BR28" s="2">
        <f t="shared" si="19"/>
        <v>0</v>
      </c>
      <c r="BS28" s="2">
        <f t="shared" si="20"/>
        <v>0</v>
      </c>
      <c r="BT28" s="2">
        <f t="shared" si="21"/>
        <v>0</v>
      </c>
      <c r="BU28" s="12">
        <f t="shared" si="22"/>
        <v>0</v>
      </c>
      <c r="BV28" s="9">
        <v>21010</v>
      </c>
    </row>
    <row r="29" spans="1:74" x14ac:dyDescent="0.25">
      <c r="A29" s="9">
        <v>20200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f>17*2*(1-0.07)*(1-0.013)+(15+19)*2*0.01</f>
        <v>31.888939999999998</v>
      </c>
      <c r="M29" s="6">
        <f>17*2*(1-0.07)*(0.013)+(15+19)*2*(1-0.01)</f>
        <v>67.731059999999999</v>
      </c>
      <c r="N29" s="6">
        <v>0</v>
      </c>
      <c r="O29" s="6">
        <v>0</v>
      </c>
      <c r="P29" s="6">
        <v>0</v>
      </c>
      <c r="Q29" s="6">
        <v>0</v>
      </c>
      <c r="R29" s="6">
        <f>17*2*0.07*(1-0.011)</f>
        <v>2.3538200000000002</v>
      </c>
      <c r="S29" s="6">
        <f>17*2*0.07*0.011</f>
        <v>2.6180000000000002E-2</v>
      </c>
      <c r="T29" s="6">
        <v>0</v>
      </c>
      <c r="U29" s="6">
        <v>0</v>
      </c>
      <c r="V29" s="4">
        <v>0</v>
      </c>
      <c r="W29" s="4">
        <v>0</v>
      </c>
      <c r="X29" s="4">
        <v>0</v>
      </c>
      <c r="Y29" s="4">
        <f>19*2*0.01</f>
        <v>0.38</v>
      </c>
      <c r="Z29" s="4">
        <f>19*2*(1-0.01)</f>
        <v>37.619999999999997</v>
      </c>
      <c r="AA29" s="4">
        <v>0</v>
      </c>
      <c r="AB29" s="4">
        <v>0</v>
      </c>
      <c r="AC29" s="4">
        <f>-SUM(AD29:AI29)-SUM(B29:AB29)</f>
        <v>-218</v>
      </c>
      <c r="AD29" s="4">
        <v>0</v>
      </c>
      <c r="AE29" s="4">
        <v>0</v>
      </c>
      <c r="AF29" s="5">
        <v>0</v>
      </c>
      <c r="AG29" s="5">
        <v>0</v>
      </c>
      <c r="AH29" s="5">
        <f>13*3*2</f>
        <v>78</v>
      </c>
      <c r="AI29" s="5">
        <v>0</v>
      </c>
      <c r="AJ29" s="3"/>
      <c r="AK29" s="9">
        <v>20200</v>
      </c>
      <c r="AM29" s="11">
        <f t="shared" si="23"/>
        <v>0</v>
      </c>
      <c r="AN29" s="11">
        <f t="shared" si="23"/>
        <v>0</v>
      </c>
      <c r="AO29" s="11">
        <f t="shared" si="23"/>
        <v>0</v>
      </c>
      <c r="AP29" s="11">
        <f t="shared" si="23"/>
        <v>0</v>
      </c>
      <c r="AQ29" s="11">
        <f t="shared" si="23"/>
        <v>0</v>
      </c>
      <c r="AR29" s="11">
        <f t="shared" si="23"/>
        <v>0</v>
      </c>
      <c r="AS29" s="11">
        <f t="shared" si="23"/>
        <v>0</v>
      </c>
      <c r="AT29" s="11">
        <f t="shared" si="23"/>
        <v>0</v>
      </c>
      <c r="AU29" s="11">
        <f t="shared" si="23"/>
        <v>0</v>
      </c>
      <c r="AV29" s="11">
        <f t="shared" si="23"/>
        <v>0</v>
      </c>
      <c r="AW29" s="11">
        <f t="shared" si="23"/>
        <v>0</v>
      </c>
      <c r="AX29" s="11">
        <f t="shared" si="23"/>
        <v>0</v>
      </c>
      <c r="AY29" s="11">
        <f t="shared" si="23"/>
        <v>0</v>
      </c>
      <c r="AZ29" s="11">
        <f t="shared" si="1"/>
        <v>0</v>
      </c>
      <c r="BA29" s="11">
        <f t="shared" si="2"/>
        <v>0</v>
      </c>
      <c r="BB29" s="11">
        <f t="shared" si="3"/>
        <v>0</v>
      </c>
      <c r="BC29" s="11">
        <f t="shared" si="4"/>
        <v>0</v>
      </c>
      <c r="BD29" s="11">
        <f t="shared" si="5"/>
        <v>0</v>
      </c>
      <c r="BE29" s="11">
        <f t="shared" si="6"/>
        <v>0</v>
      </c>
      <c r="BF29" s="11">
        <f t="shared" si="7"/>
        <v>0</v>
      </c>
      <c r="BG29" s="1">
        <f t="shared" si="8"/>
        <v>0</v>
      </c>
      <c r="BH29" s="1">
        <f t="shared" si="9"/>
        <v>0</v>
      </c>
      <c r="BI29" s="1">
        <f t="shared" si="10"/>
        <v>0</v>
      </c>
      <c r="BJ29" s="1">
        <f t="shared" si="11"/>
        <v>0</v>
      </c>
      <c r="BK29" s="1">
        <f t="shared" si="12"/>
        <v>0</v>
      </c>
      <c r="BL29" s="1">
        <f t="shared" si="13"/>
        <v>0</v>
      </c>
      <c r="BM29" s="1">
        <f t="shared" si="14"/>
        <v>0</v>
      </c>
      <c r="BN29" s="1">
        <f t="shared" si="15"/>
        <v>0</v>
      </c>
      <c r="BO29" s="1">
        <f t="shared" si="16"/>
        <v>0</v>
      </c>
      <c r="BP29" s="1">
        <f t="shared" si="17"/>
        <v>0</v>
      </c>
      <c r="BQ29" s="2">
        <f t="shared" si="18"/>
        <v>0</v>
      </c>
      <c r="BR29" s="2">
        <f t="shared" si="19"/>
        <v>0</v>
      </c>
      <c r="BS29" s="2">
        <f t="shared" si="20"/>
        <v>0</v>
      </c>
      <c r="BT29" s="2">
        <f t="shared" si="21"/>
        <v>0</v>
      </c>
      <c r="BU29" s="12">
        <f t="shared" si="22"/>
        <v>0</v>
      </c>
      <c r="BV29" s="9">
        <v>20200</v>
      </c>
    </row>
    <row r="30" spans="1:74" x14ac:dyDescent="0.25">
      <c r="A30" s="9">
        <v>21100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f>17*2*(1-0.07)*(1-0.013)+(15+19)*2*0.01</f>
        <v>31.888939999999998</v>
      </c>
      <c r="O30" s="6">
        <f>17*2*(1-0.07)*(0.013)+(15+19)*2*(1-0.01)</f>
        <v>67.731059999999999</v>
      </c>
      <c r="P30" s="6">
        <v>0</v>
      </c>
      <c r="Q30" s="6">
        <v>0</v>
      </c>
      <c r="R30" s="6">
        <v>0</v>
      </c>
      <c r="S30" s="6">
        <f>17*2*0.07*(1-0.011)</f>
        <v>2.3538200000000002</v>
      </c>
      <c r="T30" s="6">
        <f>17*2*0.07*0.011</f>
        <v>2.6180000000000002E-2</v>
      </c>
      <c r="U30" s="6">
        <v>0</v>
      </c>
      <c r="V30" s="4">
        <v>0</v>
      </c>
      <c r="W30" s="4">
        <v>0</v>
      </c>
      <c r="X30" s="4">
        <v>0</v>
      </c>
      <c r="Y30" s="4">
        <f>19*1*0.01</f>
        <v>0.19</v>
      </c>
      <c r="Z30" s="4">
        <f>19*1*(1-0.01)</f>
        <v>18.809999999999999</v>
      </c>
      <c r="AA30" s="4">
        <f>19*1*0.01</f>
        <v>0.19</v>
      </c>
      <c r="AB30" s="4">
        <f>19*1*(1-0.01)</f>
        <v>18.809999999999999</v>
      </c>
      <c r="AC30" s="4">
        <v>0</v>
      </c>
      <c r="AD30" s="4">
        <f>-SUM(AE30:AI30)-SUM(B30:AC30)</f>
        <v>-212</v>
      </c>
      <c r="AE30" s="4">
        <v>0</v>
      </c>
      <c r="AF30" s="5">
        <v>0</v>
      </c>
      <c r="AG30" s="5">
        <v>0</v>
      </c>
      <c r="AH30" s="5">
        <f>11*3*1</f>
        <v>33</v>
      </c>
      <c r="AI30" s="5">
        <f>13*3*1</f>
        <v>39</v>
      </c>
      <c r="AJ30" s="3"/>
      <c r="AK30" s="9">
        <v>21100</v>
      </c>
      <c r="AM30" s="11">
        <f t="shared" si="23"/>
        <v>0</v>
      </c>
      <c r="AN30" s="11">
        <f t="shared" si="23"/>
        <v>0</v>
      </c>
      <c r="AO30" s="11">
        <f t="shared" si="23"/>
        <v>0</v>
      </c>
      <c r="AP30" s="11">
        <f t="shared" si="23"/>
        <v>0</v>
      </c>
      <c r="AQ30" s="11">
        <f t="shared" si="23"/>
        <v>0</v>
      </c>
      <c r="AR30" s="11">
        <f t="shared" si="23"/>
        <v>0</v>
      </c>
      <c r="AS30" s="11">
        <f t="shared" si="23"/>
        <v>0</v>
      </c>
      <c r="AT30" s="11">
        <f t="shared" si="23"/>
        <v>0</v>
      </c>
      <c r="AU30" s="11">
        <f t="shared" si="23"/>
        <v>0</v>
      </c>
      <c r="AV30" s="11">
        <f t="shared" si="23"/>
        <v>0</v>
      </c>
      <c r="AW30" s="11">
        <f t="shared" si="23"/>
        <v>0</v>
      </c>
      <c r="AX30" s="11">
        <f t="shared" si="23"/>
        <v>0</v>
      </c>
      <c r="AY30" s="11">
        <f t="shared" ref="AY30:AY36" si="24">N30-N69</f>
        <v>0</v>
      </c>
      <c r="AZ30" s="11">
        <f t="shared" si="1"/>
        <v>0</v>
      </c>
      <c r="BA30" s="11">
        <f t="shared" si="2"/>
        <v>0</v>
      </c>
      <c r="BB30" s="11">
        <f t="shared" si="3"/>
        <v>0</v>
      </c>
      <c r="BC30" s="11">
        <f t="shared" si="4"/>
        <v>0</v>
      </c>
      <c r="BD30" s="11">
        <f t="shared" si="5"/>
        <v>0</v>
      </c>
      <c r="BE30" s="11">
        <f t="shared" si="6"/>
        <v>0</v>
      </c>
      <c r="BF30" s="11">
        <f t="shared" si="7"/>
        <v>0</v>
      </c>
      <c r="BG30" s="1">
        <f t="shared" si="8"/>
        <v>0</v>
      </c>
      <c r="BH30" s="1">
        <f t="shared" si="9"/>
        <v>0</v>
      </c>
      <c r="BI30" s="1">
        <f t="shared" si="10"/>
        <v>0</v>
      </c>
      <c r="BJ30" s="1">
        <f t="shared" si="11"/>
        <v>0</v>
      </c>
      <c r="BK30" s="1">
        <f t="shared" si="12"/>
        <v>0</v>
      </c>
      <c r="BL30" s="1">
        <f t="shared" si="13"/>
        <v>0</v>
      </c>
      <c r="BM30" s="1">
        <f t="shared" si="14"/>
        <v>0</v>
      </c>
      <c r="BN30" s="1">
        <f t="shared" si="15"/>
        <v>0</v>
      </c>
      <c r="BO30" s="1">
        <f t="shared" si="16"/>
        <v>0</v>
      </c>
      <c r="BP30" s="1">
        <f t="shared" si="17"/>
        <v>0</v>
      </c>
      <c r="BQ30" s="2">
        <f t="shared" si="18"/>
        <v>0</v>
      </c>
      <c r="BR30" s="2">
        <f t="shared" si="19"/>
        <v>0</v>
      </c>
      <c r="BS30" s="2">
        <f t="shared" si="20"/>
        <v>0</v>
      </c>
      <c r="BT30" s="2">
        <f t="shared" si="21"/>
        <v>0</v>
      </c>
      <c r="BU30" s="12">
        <f t="shared" si="22"/>
        <v>0</v>
      </c>
      <c r="BV30" s="9">
        <v>21100</v>
      </c>
    </row>
    <row r="31" spans="1:74" x14ac:dyDescent="0.25">
      <c r="A31" s="9">
        <v>22000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f>17*2*(1-0.07)*(1-0.013)+(15+19)*2*0.01</f>
        <v>31.888939999999998</v>
      </c>
      <c r="Q31" s="6">
        <f>17*2*(1-0.07)*(0.013)+(15+19)*2*(1-0.01)</f>
        <v>67.731059999999999</v>
      </c>
      <c r="R31" s="6">
        <v>0</v>
      </c>
      <c r="S31" s="6">
        <v>0</v>
      </c>
      <c r="T31" s="6">
        <f>17*2*0.07*(1-0.011)</f>
        <v>2.3538200000000002</v>
      </c>
      <c r="U31" s="6">
        <f>17*2*0.07*0.011</f>
        <v>2.6180000000000002E-2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f>19*2*0.01</f>
        <v>0.38</v>
      </c>
      <c r="AB31" s="4">
        <f>19*2*(1-0.01)</f>
        <v>37.619999999999997</v>
      </c>
      <c r="AC31" s="4">
        <v>0</v>
      </c>
      <c r="AD31" s="4">
        <v>0</v>
      </c>
      <c r="AE31" s="4">
        <f>-SUM(AF31:AI31)-SUM(B31:AD31)</f>
        <v>-206</v>
      </c>
      <c r="AF31" s="5">
        <v>0</v>
      </c>
      <c r="AG31" s="5">
        <v>0</v>
      </c>
      <c r="AH31" s="5">
        <v>0</v>
      </c>
      <c r="AI31" s="5">
        <f>11*3*2</f>
        <v>66</v>
      </c>
      <c r="AJ31" s="3"/>
      <c r="AK31" s="9">
        <v>22000</v>
      </c>
      <c r="AM31" s="11">
        <f t="shared" si="23"/>
        <v>0</v>
      </c>
      <c r="AN31" s="11">
        <f t="shared" si="23"/>
        <v>0</v>
      </c>
      <c r="AO31" s="11">
        <f t="shared" si="23"/>
        <v>0</v>
      </c>
      <c r="AP31" s="11">
        <f t="shared" si="23"/>
        <v>0</v>
      </c>
      <c r="AQ31" s="11">
        <f t="shared" si="23"/>
        <v>0</v>
      </c>
      <c r="AR31" s="11">
        <f t="shared" si="23"/>
        <v>0</v>
      </c>
      <c r="AS31" s="11">
        <f t="shared" si="23"/>
        <v>0</v>
      </c>
      <c r="AT31" s="11">
        <f t="shared" si="23"/>
        <v>0</v>
      </c>
      <c r="AU31" s="11">
        <f t="shared" si="23"/>
        <v>0</v>
      </c>
      <c r="AV31" s="11">
        <f t="shared" si="23"/>
        <v>0</v>
      </c>
      <c r="AW31" s="11">
        <f t="shared" si="23"/>
        <v>0</v>
      </c>
      <c r="AX31" s="11">
        <f t="shared" si="23"/>
        <v>0</v>
      </c>
      <c r="AY31" s="11">
        <f t="shared" si="24"/>
        <v>0</v>
      </c>
      <c r="AZ31" s="11">
        <f t="shared" si="1"/>
        <v>0</v>
      </c>
      <c r="BA31" s="11">
        <f t="shared" si="2"/>
        <v>0</v>
      </c>
      <c r="BB31" s="11">
        <f t="shared" si="3"/>
        <v>0</v>
      </c>
      <c r="BC31" s="11">
        <f t="shared" si="4"/>
        <v>0</v>
      </c>
      <c r="BD31" s="11">
        <f t="shared" si="5"/>
        <v>0</v>
      </c>
      <c r="BE31" s="11">
        <f t="shared" si="6"/>
        <v>0</v>
      </c>
      <c r="BF31" s="11">
        <f t="shared" si="7"/>
        <v>0</v>
      </c>
      <c r="BG31" s="1">
        <f t="shared" si="8"/>
        <v>0</v>
      </c>
      <c r="BH31" s="1">
        <f t="shared" si="9"/>
        <v>0</v>
      </c>
      <c r="BI31" s="1">
        <f t="shared" si="10"/>
        <v>0</v>
      </c>
      <c r="BJ31" s="1">
        <f t="shared" si="11"/>
        <v>0</v>
      </c>
      <c r="BK31" s="1">
        <f t="shared" si="12"/>
        <v>0</v>
      </c>
      <c r="BL31" s="1">
        <f t="shared" si="13"/>
        <v>0</v>
      </c>
      <c r="BM31" s="1">
        <f t="shared" si="14"/>
        <v>0</v>
      </c>
      <c r="BN31" s="1">
        <f t="shared" si="15"/>
        <v>0</v>
      </c>
      <c r="BO31" s="1">
        <f t="shared" si="16"/>
        <v>0</v>
      </c>
      <c r="BP31" s="1">
        <f t="shared" si="17"/>
        <v>0</v>
      </c>
      <c r="BQ31" s="2">
        <f t="shared" si="18"/>
        <v>0</v>
      </c>
      <c r="BR31" s="2">
        <f t="shared" si="19"/>
        <v>0</v>
      </c>
      <c r="BS31" s="2">
        <f t="shared" si="20"/>
        <v>0</v>
      </c>
      <c r="BT31" s="2">
        <f t="shared" si="21"/>
        <v>0</v>
      </c>
      <c r="BU31" s="12">
        <f t="shared" si="22"/>
        <v>0</v>
      </c>
      <c r="BV31" s="9">
        <v>22000</v>
      </c>
    </row>
    <row r="32" spans="1:74" x14ac:dyDescent="0.25">
      <c r="A32" s="9">
        <v>30001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6">
        <f>17*3*(1-0.07)*(1-0.013)+(15+19)*3*0.01</f>
        <v>47.833410000000001</v>
      </c>
      <c r="W32" s="6">
        <f>17*3*(1-0.07)*0.013+(15+19)*3*(1-0.01)</f>
        <v>101.59659000000001</v>
      </c>
      <c r="X32" s="6">
        <v>0</v>
      </c>
      <c r="Y32" s="6">
        <f>17*3*0.07*(1-0.011)</f>
        <v>3.5307300000000001</v>
      </c>
      <c r="Z32" s="6">
        <v>0</v>
      </c>
      <c r="AA32" s="6">
        <f>17*3*0.07*0.011</f>
        <v>3.9269999999999999E-2</v>
      </c>
      <c r="AB32" s="6">
        <v>0</v>
      </c>
      <c r="AC32" s="6">
        <v>0</v>
      </c>
      <c r="AD32" s="6">
        <v>0</v>
      </c>
      <c r="AE32" s="6">
        <v>0</v>
      </c>
      <c r="AF32" s="7">
        <f>-SUM(AG32:AJ32)-SUM(V32:AE32)</f>
        <v>-195.81</v>
      </c>
      <c r="AG32" s="7">
        <f>(3+19*(1-0.01))*1</f>
        <v>21.81</v>
      </c>
      <c r="AH32" s="7">
        <f>7*(1-0.05)*1*3</f>
        <v>19.95</v>
      </c>
      <c r="AI32" s="7">
        <v>0</v>
      </c>
      <c r="AJ32" s="5">
        <f>7*0.05*1*3</f>
        <v>1.05</v>
      </c>
      <c r="AK32" s="9">
        <v>30001</v>
      </c>
      <c r="AM32">
        <f t="shared" si="23"/>
        <v>0</v>
      </c>
      <c r="AN32">
        <f t="shared" si="23"/>
        <v>0</v>
      </c>
      <c r="AO32">
        <f t="shared" si="23"/>
        <v>0</v>
      </c>
      <c r="AP32">
        <f t="shared" si="23"/>
        <v>0</v>
      </c>
      <c r="AQ32">
        <f t="shared" si="23"/>
        <v>0</v>
      </c>
      <c r="AR32">
        <f t="shared" si="23"/>
        <v>0</v>
      </c>
      <c r="AS32">
        <f t="shared" si="23"/>
        <v>0</v>
      </c>
      <c r="AT32">
        <f t="shared" si="23"/>
        <v>0</v>
      </c>
      <c r="AU32">
        <f t="shared" si="23"/>
        <v>0</v>
      </c>
      <c r="AV32">
        <f t="shared" si="23"/>
        <v>0</v>
      </c>
      <c r="AW32">
        <f t="shared" si="23"/>
        <v>0</v>
      </c>
      <c r="AX32">
        <f t="shared" si="23"/>
        <v>0</v>
      </c>
      <c r="AY32">
        <f t="shared" si="24"/>
        <v>0</v>
      </c>
      <c r="AZ32">
        <f t="shared" si="1"/>
        <v>0</v>
      </c>
      <c r="BA32">
        <f t="shared" si="2"/>
        <v>0</v>
      </c>
      <c r="BB32">
        <f t="shared" si="3"/>
        <v>0</v>
      </c>
      <c r="BC32">
        <f t="shared" si="4"/>
        <v>0</v>
      </c>
      <c r="BD32">
        <f t="shared" si="5"/>
        <v>0</v>
      </c>
      <c r="BE32">
        <f t="shared" si="6"/>
        <v>0</v>
      </c>
      <c r="BF32" s="11">
        <f t="shared" si="7"/>
        <v>0</v>
      </c>
      <c r="BG32" s="11">
        <f t="shared" si="8"/>
        <v>0</v>
      </c>
      <c r="BH32" s="11">
        <f t="shared" si="9"/>
        <v>0</v>
      </c>
      <c r="BI32" s="11">
        <f t="shared" si="10"/>
        <v>0</v>
      </c>
      <c r="BJ32" s="11">
        <f t="shared" si="11"/>
        <v>0</v>
      </c>
      <c r="BK32" s="11">
        <f t="shared" si="12"/>
        <v>0</v>
      </c>
      <c r="BL32" s="11">
        <f t="shared" si="13"/>
        <v>0</v>
      </c>
      <c r="BM32" s="11">
        <f t="shared" si="14"/>
        <v>0</v>
      </c>
      <c r="BN32" s="11">
        <f t="shared" si="15"/>
        <v>0</v>
      </c>
      <c r="BO32" s="11">
        <f t="shared" si="16"/>
        <v>0</v>
      </c>
      <c r="BP32" s="11">
        <f t="shared" si="17"/>
        <v>0</v>
      </c>
      <c r="BQ32" s="1">
        <f t="shared" si="18"/>
        <v>0</v>
      </c>
      <c r="BR32" s="1">
        <f t="shared" si="19"/>
        <v>0</v>
      </c>
      <c r="BS32" s="1">
        <f t="shared" si="20"/>
        <v>0</v>
      </c>
      <c r="BT32" s="1">
        <f t="shared" si="21"/>
        <v>0</v>
      </c>
      <c r="BU32" s="2">
        <f t="shared" si="22"/>
        <v>0</v>
      </c>
      <c r="BV32" s="9">
        <v>30001</v>
      </c>
    </row>
    <row r="33" spans="1:74" x14ac:dyDescent="0.25">
      <c r="A33" s="9">
        <v>30010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6">
        <v>0</v>
      </c>
      <c r="W33" s="6">
        <f>17*3*(1-0.07)*(1-0.013)+(15+19)*3*0.01</f>
        <v>47.833410000000001</v>
      </c>
      <c r="X33" s="6">
        <f>17*3*(1-0.07)*0.013+(15+19)*3*(1-0.01)</f>
        <v>101.59659000000001</v>
      </c>
      <c r="Y33" s="6">
        <v>0</v>
      </c>
      <c r="Z33" s="6">
        <f>17*3*0.07*(1-0.011)</f>
        <v>3.5307300000000001</v>
      </c>
      <c r="AA33" s="6">
        <v>0</v>
      </c>
      <c r="AB33" s="6">
        <f>17*3*0.07*0.011</f>
        <v>3.9269999999999999E-2</v>
      </c>
      <c r="AC33" s="6">
        <v>0</v>
      </c>
      <c r="AD33" s="6">
        <v>0</v>
      </c>
      <c r="AE33" s="6">
        <v>0</v>
      </c>
      <c r="AF33" s="7">
        <f>19*1*0.01</f>
        <v>0.19</v>
      </c>
      <c r="AG33" s="7">
        <f>-SUM(AH33:AJ33)-SUM(V33:AF33)</f>
        <v>-168.19</v>
      </c>
      <c r="AH33" s="7">
        <v>0</v>
      </c>
      <c r="AI33" s="7">
        <f>5*(1-0.03)*1*3</f>
        <v>14.549999999999999</v>
      </c>
      <c r="AJ33" s="5">
        <f>5*0.03*1*3</f>
        <v>0.44999999999999996</v>
      </c>
      <c r="AK33" s="9">
        <v>30010</v>
      </c>
      <c r="AM33">
        <f t="shared" si="23"/>
        <v>0</v>
      </c>
      <c r="AN33">
        <f t="shared" si="23"/>
        <v>0</v>
      </c>
      <c r="AO33">
        <f t="shared" si="23"/>
        <v>0</v>
      </c>
      <c r="AP33">
        <f t="shared" si="23"/>
        <v>0</v>
      </c>
      <c r="AQ33">
        <f t="shared" si="23"/>
        <v>0</v>
      </c>
      <c r="AR33">
        <f t="shared" si="23"/>
        <v>0</v>
      </c>
      <c r="AS33">
        <f t="shared" si="23"/>
        <v>0</v>
      </c>
      <c r="AT33">
        <f t="shared" si="23"/>
        <v>0</v>
      </c>
      <c r="AU33">
        <f t="shared" si="23"/>
        <v>0</v>
      </c>
      <c r="AV33">
        <f t="shared" si="23"/>
        <v>0</v>
      </c>
      <c r="AW33">
        <f t="shared" si="23"/>
        <v>0</v>
      </c>
      <c r="AX33">
        <f t="shared" si="23"/>
        <v>0</v>
      </c>
      <c r="AY33">
        <f t="shared" si="24"/>
        <v>0</v>
      </c>
      <c r="AZ33">
        <f t="shared" si="1"/>
        <v>0</v>
      </c>
      <c r="BA33">
        <f t="shared" si="2"/>
        <v>0</v>
      </c>
      <c r="BB33">
        <f t="shared" si="3"/>
        <v>0</v>
      </c>
      <c r="BC33">
        <f t="shared" si="4"/>
        <v>0</v>
      </c>
      <c r="BD33">
        <f t="shared" si="5"/>
        <v>0</v>
      </c>
      <c r="BE33">
        <f t="shared" si="6"/>
        <v>0</v>
      </c>
      <c r="BF33" s="11">
        <f t="shared" si="7"/>
        <v>0</v>
      </c>
      <c r="BG33" s="11">
        <f t="shared" si="8"/>
        <v>0</v>
      </c>
      <c r="BH33" s="11">
        <f t="shared" si="9"/>
        <v>0</v>
      </c>
      <c r="BI33" s="11">
        <f t="shared" si="10"/>
        <v>0</v>
      </c>
      <c r="BJ33" s="11">
        <f t="shared" si="11"/>
        <v>0</v>
      </c>
      <c r="BK33" s="11">
        <f t="shared" si="12"/>
        <v>0</v>
      </c>
      <c r="BL33" s="11">
        <f t="shared" si="13"/>
        <v>0</v>
      </c>
      <c r="BM33" s="11">
        <f t="shared" si="14"/>
        <v>0</v>
      </c>
      <c r="BN33" s="11">
        <f t="shared" si="15"/>
        <v>0</v>
      </c>
      <c r="BO33" s="11">
        <f t="shared" si="16"/>
        <v>0</v>
      </c>
      <c r="BP33" s="11">
        <f t="shared" si="17"/>
        <v>0</v>
      </c>
      <c r="BQ33" s="1">
        <f t="shared" si="18"/>
        <v>0</v>
      </c>
      <c r="BR33" s="1">
        <f t="shared" si="19"/>
        <v>0</v>
      </c>
      <c r="BS33" s="1">
        <f t="shared" si="20"/>
        <v>0</v>
      </c>
      <c r="BT33" s="1">
        <f t="shared" si="21"/>
        <v>0</v>
      </c>
      <c r="BU33" s="2">
        <f t="shared" si="22"/>
        <v>0</v>
      </c>
      <c r="BV33" s="9">
        <v>30010</v>
      </c>
    </row>
    <row r="34" spans="1:74" x14ac:dyDescent="0.25">
      <c r="A34" s="9">
        <v>30100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6">
        <v>0</v>
      </c>
      <c r="W34" s="6">
        <v>0</v>
      </c>
      <c r="X34" s="6">
        <v>0</v>
      </c>
      <c r="Y34" s="6">
        <f>17*3*(1-0.07)*(1-0.013)+(15+19)*3*0.01</f>
        <v>47.833410000000001</v>
      </c>
      <c r="Z34" s="6">
        <f>17*3*(1-0.07)*0.013+(15+19)*3*(1-0.01)</f>
        <v>101.59659000000001</v>
      </c>
      <c r="AA34" s="6">
        <v>0</v>
      </c>
      <c r="AB34" s="6">
        <v>0</v>
      </c>
      <c r="AC34" s="6">
        <f>17*3*0.07*(1-0.011)</f>
        <v>3.5307300000000001</v>
      </c>
      <c r="AD34" s="6">
        <f>17*3*0.07*0.011</f>
        <v>3.9269999999999999E-2</v>
      </c>
      <c r="AE34" s="6">
        <v>0</v>
      </c>
      <c r="AF34" s="7">
        <f>19*1*0.01</f>
        <v>0.19</v>
      </c>
      <c r="AG34" s="7">
        <f>19*1*(1-0.01)</f>
        <v>18.809999999999999</v>
      </c>
      <c r="AH34" s="7">
        <f>-SUM(AI34:AJ34)-SUM(V34:AG34)</f>
        <v>-224</v>
      </c>
      <c r="AI34" s="7">
        <v>0</v>
      </c>
      <c r="AJ34" s="5">
        <f>13*4*1</f>
        <v>52</v>
      </c>
      <c r="AK34" s="9">
        <v>30100</v>
      </c>
      <c r="AM34">
        <f t="shared" si="23"/>
        <v>0</v>
      </c>
      <c r="AN34">
        <f t="shared" si="23"/>
        <v>0</v>
      </c>
      <c r="AO34">
        <f t="shared" si="23"/>
        <v>0</v>
      </c>
      <c r="AP34">
        <f t="shared" si="23"/>
        <v>0</v>
      </c>
      <c r="AQ34">
        <f t="shared" si="23"/>
        <v>0</v>
      </c>
      <c r="AR34">
        <f t="shared" si="23"/>
        <v>0</v>
      </c>
      <c r="AS34">
        <f t="shared" si="23"/>
        <v>0</v>
      </c>
      <c r="AT34">
        <f t="shared" si="23"/>
        <v>0</v>
      </c>
      <c r="AU34">
        <f t="shared" si="23"/>
        <v>0</v>
      </c>
      <c r="AV34">
        <f t="shared" si="23"/>
        <v>0</v>
      </c>
      <c r="AW34">
        <f t="shared" si="23"/>
        <v>0</v>
      </c>
      <c r="AX34">
        <f t="shared" si="23"/>
        <v>0</v>
      </c>
      <c r="AY34">
        <f t="shared" si="24"/>
        <v>0</v>
      </c>
      <c r="AZ34">
        <f t="shared" si="1"/>
        <v>0</v>
      </c>
      <c r="BA34">
        <f t="shared" si="2"/>
        <v>0</v>
      </c>
      <c r="BB34">
        <f t="shared" si="3"/>
        <v>0</v>
      </c>
      <c r="BC34">
        <f t="shared" si="4"/>
        <v>0</v>
      </c>
      <c r="BD34">
        <f t="shared" si="5"/>
        <v>0</v>
      </c>
      <c r="BE34">
        <f t="shared" si="6"/>
        <v>0</v>
      </c>
      <c r="BF34" s="11">
        <f t="shared" si="7"/>
        <v>0</v>
      </c>
      <c r="BG34" s="11">
        <f t="shared" si="8"/>
        <v>0</v>
      </c>
      <c r="BH34" s="11">
        <f t="shared" si="9"/>
        <v>0</v>
      </c>
      <c r="BI34" s="11">
        <f t="shared" si="10"/>
        <v>0</v>
      </c>
      <c r="BJ34" s="11">
        <f t="shared" si="11"/>
        <v>0</v>
      </c>
      <c r="BK34" s="11">
        <f t="shared" si="12"/>
        <v>0</v>
      </c>
      <c r="BL34" s="11">
        <f t="shared" si="13"/>
        <v>0</v>
      </c>
      <c r="BM34" s="11">
        <f t="shared" si="14"/>
        <v>0</v>
      </c>
      <c r="BN34" s="11">
        <f t="shared" si="15"/>
        <v>0</v>
      </c>
      <c r="BO34" s="11">
        <f t="shared" si="16"/>
        <v>0</v>
      </c>
      <c r="BP34" s="11">
        <f t="shared" si="17"/>
        <v>0</v>
      </c>
      <c r="BQ34" s="1">
        <f t="shared" si="18"/>
        <v>0</v>
      </c>
      <c r="BR34" s="1">
        <f t="shared" si="19"/>
        <v>0</v>
      </c>
      <c r="BS34" s="1">
        <f t="shared" si="20"/>
        <v>0</v>
      </c>
      <c r="BT34" s="1">
        <f t="shared" si="21"/>
        <v>0</v>
      </c>
      <c r="BU34" s="2">
        <f t="shared" si="22"/>
        <v>0</v>
      </c>
      <c r="BV34" s="9">
        <v>30100</v>
      </c>
    </row>
    <row r="35" spans="1:74" x14ac:dyDescent="0.25">
      <c r="A35" s="9">
        <v>31000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f>17*3*(1-0.07)*(1-0.013)+(15+19)*3*0.01</f>
        <v>47.833410000000001</v>
      </c>
      <c r="AB35" s="6">
        <f>17*3*(1-0.07)*0.013+(15+19)*3*(1-0.01)</f>
        <v>101.59659000000001</v>
      </c>
      <c r="AC35" s="6">
        <v>0</v>
      </c>
      <c r="AD35" s="6">
        <f>17*3*0.07*(1-0.011)</f>
        <v>3.5307300000000001</v>
      </c>
      <c r="AE35" s="6">
        <f>17*3*0.07*0.011</f>
        <v>3.9269999999999999E-2</v>
      </c>
      <c r="AF35" s="7">
        <f>19*1*0.01</f>
        <v>0.19</v>
      </c>
      <c r="AG35" s="7">
        <f>19*1*(1-0.01)</f>
        <v>18.809999999999999</v>
      </c>
      <c r="AH35" s="7">
        <v>0</v>
      </c>
      <c r="AI35" s="7">
        <f>-SUM(AJ35)-SUM(V35:AH35)</f>
        <v>-216</v>
      </c>
      <c r="AJ35" s="5">
        <f>11*4*1</f>
        <v>44</v>
      </c>
      <c r="AK35" s="9">
        <v>31000</v>
      </c>
      <c r="AM35">
        <f t="shared" si="23"/>
        <v>0</v>
      </c>
      <c r="AN35">
        <f t="shared" si="23"/>
        <v>0</v>
      </c>
      <c r="AO35">
        <f t="shared" si="23"/>
        <v>0</v>
      </c>
      <c r="AP35">
        <f t="shared" si="23"/>
        <v>0</v>
      </c>
      <c r="AQ35">
        <f t="shared" si="23"/>
        <v>0</v>
      </c>
      <c r="AR35">
        <f t="shared" si="23"/>
        <v>0</v>
      </c>
      <c r="AS35">
        <f t="shared" si="23"/>
        <v>0</v>
      </c>
      <c r="AT35">
        <f t="shared" si="23"/>
        <v>0</v>
      </c>
      <c r="AU35">
        <f t="shared" si="23"/>
        <v>0</v>
      </c>
      <c r="AV35">
        <f t="shared" si="23"/>
        <v>0</v>
      </c>
      <c r="AW35">
        <f t="shared" si="23"/>
        <v>0</v>
      </c>
      <c r="AX35">
        <f t="shared" si="23"/>
        <v>0</v>
      </c>
      <c r="AY35">
        <f t="shared" si="24"/>
        <v>0</v>
      </c>
      <c r="AZ35">
        <f t="shared" si="1"/>
        <v>0</v>
      </c>
      <c r="BA35">
        <f t="shared" si="2"/>
        <v>0</v>
      </c>
      <c r="BB35">
        <f t="shared" si="3"/>
        <v>0</v>
      </c>
      <c r="BC35">
        <f t="shared" si="4"/>
        <v>0</v>
      </c>
      <c r="BD35">
        <f t="shared" si="5"/>
        <v>0</v>
      </c>
      <c r="BE35">
        <f t="shared" si="6"/>
        <v>0</v>
      </c>
      <c r="BF35" s="11">
        <f t="shared" si="7"/>
        <v>0</v>
      </c>
      <c r="BG35" s="11">
        <f t="shared" si="8"/>
        <v>0</v>
      </c>
      <c r="BH35" s="11">
        <f t="shared" si="9"/>
        <v>0</v>
      </c>
      <c r="BI35" s="11">
        <f t="shared" si="10"/>
        <v>0</v>
      </c>
      <c r="BJ35" s="11">
        <f t="shared" si="11"/>
        <v>0</v>
      </c>
      <c r="BK35" s="11">
        <f t="shared" si="12"/>
        <v>0</v>
      </c>
      <c r="BL35" s="11">
        <f t="shared" si="13"/>
        <v>0</v>
      </c>
      <c r="BM35" s="11">
        <f t="shared" si="14"/>
        <v>0</v>
      </c>
      <c r="BN35" s="11">
        <f t="shared" si="15"/>
        <v>0</v>
      </c>
      <c r="BO35" s="11">
        <f t="shared" si="16"/>
        <v>0</v>
      </c>
      <c r="BP35" s="11">
        <f t="shared" si="17"/>
        <v>0</v>
      </c>
      <c r="BQ35" s="1">
        <f t="shared" si="18"/>
        <v>0</v>
      </c>
      <c r="BR35" s="1">
        <f t="shared" si="19"/>
        <v>0</v>
      </c>
      <c r="BS35" s="1">
        <f t="shared" si="20"/>
        <v>0</v>
      </c>
      <c r="BT35" s="1">
        <f t="shared" si="21"/>
        <v>0</v>
      </c>
      <c r="BU35" s="2">
        <f t="shared" si="22"/>
        <v>0</v>
      </c>
      <c r="BV35" s="9">
        <v>31000</v>
      </c>
    </row>
    <row r="36" spans="1:74" x14ac:dyDescent="0.25">
      <c r="A36" s="9">
        <v>40000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6">
        <f>17*4*(1-0.07)*(1-0.013)+(15+19)*4*0.01</f>
        <v>63.777879999999996</v>
      </c>
      <c r="AG36" s="6">
        <f>17*4*(1-0.07)*0.013+(15+19)*4*(1-0.01)</f>
        <v>135.46212</v>
      </c>
      <c r="AH36" s="6">
        <f>17*4*0.07*(1-0.011)</f>
        <v>4.7076400000000005</v>
      </c>
      <c r="AI36" s="6">
        <f>17*4*0.07*0.011</f>
        <v>5.2360000000000004E-2</v>
      </c>
      <c r="AJ36" s="4">
        <f>-SUM(B36:AI36)</f>
        <v>-204</v>
      </c>
      <c r="AK36" s="9">
        <v>40000</v>
      </c>
      <c r="AM36">
        <f t="shared" si="23"/>
        <v>0</v>
      </c>
      <c r="AN36">
        <f t="shared" si="23"/>
        <v>0</v>
      </c>
      <c r="AO36">
        <f t="shared" si="23"/>
        <v>0</v>
      </c>
      <c r="AP36">
        <f t="shared" si="23"/>
        <v>0</v>
      </c>
      <c r="AQ36">
        <f t="shared" si="23"/>
        <v>0</v>
      </c>
      <c r="AR36">
        <f t="shared" si="23"/>
        <v>0</v>
      </c>
      <c r="AS36">
        <f t="shared" si="23"/>
        <v>0</v>
      </c>
      <c r="AT36">
        <f t="shared" si="23"/>
        <v>0</v>
      </c>
      <c r="AU36">
        <f t="shared" si="23"/>
        <v>0</v>
      </c>
      <c r="AV36">
        <f t="shared" si="23"/>
        <v>0</v>
      </c>
      <c r="AW36">
        <f t="shared" si="23"/>
        <v>0</v>
      </c>
      <c r="AX36">
        <f t="shared" si="23"/>
        <v>0</v>
      </c>
      <c r="AY36">
        <f t="shared" si="24"/>
        <v>0</v>
      </c>
      <c r="AZ36">
        <f t="shared" si="1"/>
        <v>0</v>
      </c>
      <c r="BA36">
        <f t="shared" si="2"/>
        <v>0</v>
      </c>
      <c r="BB36">
        <f t="shared" si="3"/>
        <v>0</v>
      </c>
      <c r="BC36">
        <f t="shared" si="4"/>
        <v>0</v>
      </c>
      <c r="BD36">
        <f t="shared" si="5"/>
        <v>0</v>
      </c>
      <c r="BE36">
        <f t="shared" si="6"/>
        <v>0</v>
      </c>
      <c r="BF36">
        <f t="shared" si="7"/>
        <v>0</v>
      </c>
      <c r="BG36">
        <f t="shared" si="8"/>
        <v>0</v>
      </c>
      <c r="BH36">
        <f t="shared" si="9"/>
        <v>0</v>
      </c>
      <c r="BI36">
        <f t="shared" si="10"/>
        <v>0</v>
      </c>
      <c r="BJ36">
        <f t="shared" si="11"/>
        <v>0</v>
      </c>
      <c r="BK36">
        <f t="shared" si="12"/>
        <v>0</v>
      </c>
      <c r="BL36">
        <f t="shared" si="13"/>
        <v>0</v>
      </c>
      <c r="BM36">
        <f t="shared" si="14"/>
        <v>0</v>
      </c>
      <c r="BN36">
        <f t="shared" si="15"/>
        <v>0</v>
      </c>
      <c r="BO36">
        <f t="shared" si="16"/>
        <v>0</v>
      </c>
      <c r="BP36">
        <f t="shared" si="17"/>
        <v>0</v>
      </c>
      <c r="BQ36" s="11">
        <f t="shared" si="18"/>
        <v>0</v>
      </c>
      <c r="BR36" s="11">
        <f t="shared" si="19"/>
        <v>0</v>
      </c>
      <c r="BS36" s="11">
        <f t="shared" si="20"/>
        <v>0</v>
      </c>
      <c r="BT36" s="11">
        <f t="shared" si="21"/>
        <v>0</v>
      </c>
      <c r="BU36" s="1">
        <f t="shared" si="22"/>
        <v>0</v>
      </c>
      <c r="BV36" s="9">
        <v>40000</v>
      </c>
    </row>
    <row r="37" spans="1:74" x14ac:dyDescent="0.25">
      <c r="A37" s="3"/>
      <c r="B37" s="9">
        <v>10003</v>
      </c>
      <c r="C37" s="9">
        <v>10012</v>
      </c>
      <c r="D37" s="9">
        <v>10021</v>
      </c>
      <c r="E37" s="9">
        <v>10030</v>
      </c>
      <c r="F37" s="9">
        <v>10102</v>
      </c>
      <c r="G37" s="9">
        <v>10111</v>
      </c>
      <c r="H37" s="9">
        <v>10120</v>
      </c>
      <c r="I37" s="9">
        <v>11002</v>
      </c>
      <c r="J37" s="9">
        <v>11011</v>
      </c>
      <c r="K37" s="9">
        <v>11020</v>
      </c>
      <c r="L37" s="9">
        <v>10201</v>
      </c>
      <c r="M37" s="9">
        <v>10210</v>
      </c>
      <c r="N37" s="9">
        <v>11101</v>
      </c>
      <c r="O37" s="9">
        <v>11110</v>
      </c>
      <c r="P37" s="9">
        <v>12001</v>
      </c>
      <c r="Q37" s="9">
        <v>12010</v>
      </c>
      <c r="R37" s="9">
        <v>10300</v>
      </c>
      <c r="S37" s="9">
        <v>11200</v>
      </c>
      <c r="T37" s="9">
        <v>12100</v>
      </c>
      <c r="U37" s="9">
        <v>13000</v>
      </c>
      <c r="V37" s="9">
        <v>20002</v>
      </c>
      <c r="W37" s="9">
        <v>20011</v>
      </c>
      <c r="X37" s="9">
        <v>20020</v>
      </c>
      <c r="Y37" s="9">
        <v>20101</v>
      </c>
      <c r="Z37" s="9">
        <v>20110</v>
      </c>
      <c r="AA37" s="9">
        <v>21001</v>
      </c>
      <c r="AB37" s="9">
        <v>21010</v>
      </c>
      <c r="AC37" s="9">
        <v>20200</v>
      </c>
      <c r="AD37" s="9">
        <v>21100</v>
      </c>
      <c r="AE37" s="9">
        <v>22000</v>
      </c>
      <c r="AF37" s="9">
        <v>30001</v>
      </c>
      <c r="AG37" s="9">
        <v>30010</v>
      </c>
      <c r="AH37" s="9">
        <v>30100</v>
      </c>
      <c r="AI37" s="9">
        <v>31000</v>
      </c>
      <c r="AJ37" s="9">
        <v>40000</v>
      </c>
      <c r="AK37" s="3"/>
      <c r="BV37" s="3"/>
    </row>
    <row r="40" spans="1:74" x14ac:dyDescent="0.25">
      <c r="A40" s="3"/>
      <c r="B40" s="8" t="s">
        <v>0</v>
      </c>
      <c r="C40" s="8" t="s">
        <v>1</v>
      </c>
      <c r="D40" s="8" t="s">
        <v>2</v>
      </c>
      <c r="E40" s="8" t="s">
        <v>3</v>
      </c>
      <c r="F40" s="8" t="s">
        <v>4</v>
      </c>
      <c r="G40" s="8" t="s">
        <v>5</v>
      </c>
      <c r="H40" s="8" t="s">
        <v>6</v>
      </c>
      <c r="I40" s="8" t="s">
        <v>7</v>
      </c>
      <c r="J40" s="8" t="s">
        <v>8</v>
      </c>
      <c r="K40" s="8" t="s">
        <v>9</v>
      </c>
      <c r="L40" s="8" t="s">
        <v>10</v>
      </c>
      <c r="M40" s="8" t="s">
        <v>11</v>
      </c>
      <c r="N40" s="8" t="s">
        <v>12</v>
      </c>
      <c r="O40" s="8" t="s">
        <v>13</v>
      </c>
      <c r="P40" s="8" t="s">
        <v>14</v>
      </c>
      <c r="Q40" s="8" t="s">
        <v>15</v>
      </c>
      <c r="R40" s="8" t="s">
        <v>16</v>
      </c>
      <c r="S40" s="8" t="s">
        <v>17</v>
      </c>
      <c r="T40" s="8" t="s">
        <v>18</v>
      </c>
      <c r="U40" s="8" t="s">
        <v>19</v>
      </c>
      <c r="V40" s="8" t="s">
        <v>20</v>
      </c>
      <c r="W40" s="8" t="s">
        <v>21</v>
      </c>
      <c r="X40" s="8" t="s">
        <v>22</v>
      </c>
      <c r="Y40" s="8" t="s">
        <v>23</v>
      </c>
      <c r="Z40" s="8" t="s">
        <v>24</v>
      </c>
      <c r="AA40" s="8" t="s">
        <v>25</v>
      </c>
      <c r="AB40" s="8" t="s">
        <v>26</v>
      </c>
      <c r="AC40" s="8" t="s">
        <v>27</v>
      </c>
      <c r="AD40" s="8" t="s">
        <v>28</v>
      </c>
      <c r="AE40" s="8" t="s">
        <v>29</v>
      </c>
      <c r="AF40" s="8" t="s">
        <v>30</v>
      </c>
      <c r="AG40" s="8" t="s">
        <v>31</v>
      </c>
      <c r="AH40" s="8" t="s">
        <v>32</v>
      </c>
      <c r="AI40" s="8" t="s">
        <v>33</v>
      </c>
      <c r="AJ40" s="8" t="s">
        <v>34</v>
      </c>
      <c r="AK40" s="3"/>
    </row>
    <row r="41" spans="1:74" x14ac:dyDescent="0.25">
      <c r="A41" s="8" t="s">
        <v>0</v>
      </c>
      <c r="B41" s="4">
        <v>-86.429999999999993</v>
      </c>
      <c r="C41" s="4">
        <v>65.429999999999993</v>
      </c>
      <c r="D41" s="4">
        <v>0</v>
      </c>
      <c r="E41" s="4">
        <v>0</v>
      </c>
      <c r="F41" s="4">
        <v>19.95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5">
        <v>1.05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8" t="s">
        <v>0</v>
      </c>
    </row>
    <row r="42" spans="1:74" x14ac:dyDescent="0.25">
      <c r="A42" s="8" t="s">
        <v>1</v>
      </c>
      <c r="B42" s="4">
        <v>0.19</v>
      </c>
      <c r="C42" s="4">
        <v>-62.81</v>
      </c>
      <c r="D42" s="4">
        <v>43.62</v>
      </c>
      <c r="E42" s="4">
        <v>0</v>
      </c>
      <c r="F42" s="4">
        <v>0</v>
      </c>
      <c r="G42" s="4">
        <v>13.3</v>
      </c>
      <c r="H42" s="4">
        <v>0</v>
      </c>
      <c r="I42" s="4">
        <v>4.8499999999999996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5">
        <v>0.15</v>
      </c>
      <c r="W42" s="5">
        <v>0.70000000000000007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8" t="s">
        <v>1</v>
      </c>
    </row>
    <row r="43" spans="1:74" x14ac:dyDescent="0.25">
      <c r="A43" s="8" t="s">
        <v>2</v>
      </c>
      <c r="B43" s="4">
        <v>0</v>
      </c>
      <c r="C43" s="4">
        <v>0.38</v>
      </c>
      <c r="D43" s="4">
        <v>-39.19</v>
      </c>
      <c r="E43" s="4">
        <v>21.81</v>
      </c>
      <c r="F43" s="4">
        <v>0</v>
      </c>
      <c r="G43" s="4">
        <v>0</v>
      </c>
      <c r="H43" s="4">
        <v>6.6499999999999986</v>
      </c>
      <c r="I43" s="4">
        <v>0</v>
      </c>
      <c r="J43" s="4">
        <v>9.6999999999999993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5">
        <v>0</v>
      </c>
      <c r="W43" s="5">
        <v>0.3</v>
      </c>
      <c r="X43" s="5">
        <v>0.35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8" t="s">
        <v>2</v>
      </c>
    </row>
    <row r="44" spans="1:74" x14ac:dyDescent="0.25">
      <c r="A44" s="8" t="s">
        <v>3</v>
      </c>
      <c r="B44" s="4">
        <v>0</v>
      </c>
      <c r="C44" s="4">
        <v>0</v>
      </c>
      <c r="D44" s="4">
        <v>0.57000000000000006</v>
      </c>
      <c r="E44" s="4">
        <v>-15.57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14.55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5">
        <v>0</v>
      </c>
      <c r="W44" s="5">
        <v>0</v>
      </c>
      <c r="X44" s="5">
        <v>0.45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8" t="s">
        <v>3</v>
      </c>
    </row>
    <row r="45" spans="1:74" x14ac:dyDescent="0.25">
      <c r="A45" s="8" t="s">
        <v>4</v>
      </c>
      <c r="B45" s="4">
        <v>0.19</v>
      </c>
      <c r="C45" s="4">
        <v>18.809999999999999</v>
      </c>
      <c r="D45" s="4">
        <v>0</v>
      </c>
      <c r="E45" s="4">
        <v>0</v>
      </c>
      <c r="F45" s="4">
        <v>-102.62</v>
      </c>
      <c r="G45" s="4">
        <v>43.62</v>
      </c>
      <c r="H45" s="4">
        <v>0</v>
      </c>
      <c r="I45" s="4">
        <v>0</v>
      </c>
      <c r="J45" s="4">
        <v>0</v>
      </c>
      <c r="K45" s="4">
        <v>0</v>
      </c>
      <c r="L45" s="4">
        <v>13.3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5">
        <v>26</v>
      </c>
      <c r="W45" s="5">
        <v>0</v>
      </c>
      <c r="X45" s="5">
        <v>0</v>
      </c>
      <c r="Y45" s="5">
        <v>0.70000000000000007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8" t="s">
        <v>4</v>
      </c>
    </row>
    <row r="46" spans="1:74" x14ac:dyDescent="0.25">
      <c r="A46" s="8" t="s">
        <v>5</v>
      </c>
      <c r="B46" s="4">
        <v>0</v>
      </c>
      <c r="C46" s="4">
        <v>0.19</v>
      </c>
      <c r="D46" s="4">
        <v>18.809999999999999</v>
      </c>
      <c r="E46" s="4">
        <v>0</v>
      </c>
      <c r="F46" s="4">
        <v>0.19</v>
      </c>
      <c r="G46" s="4">
        <v>-79</v>
      </c>
      <c r="H46" s="4">
        <v>21.81</v>
      </c>
      <c r="I46" s="4">
        <v>0</v>
      </c>
      <c r="J46" s="4">
        <v>0</v>
      </c>
      <c r="K46" s="4">
        <v>0</v>
      </c>
      <c r="L46" s="4">
        <v>0</v>
      </c>
      <c r="M46" s="4">
        <v>6.6499999999999986</v>
      </c>
      <c r="N46" s="4">
        <v>4.8499999999999996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5">
        <v>0</v>
      </c>
      <c r="W46" s="5">
        <v>26</v>
      </c>
      <c r="X46" s="5">
        <v>0</v>
      </c>
      <c r="Y46" s="5">
        <v>0.15</v>
      </c>
      <c r="Z46" s="5">
        <v>0.35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8" t="s">
        <v>5</v>
      </c>
    </row>
    <row r="47" spans="1:74" x14ac:dyDescent="0.25">
      <c r="A47" s="8" t="s">
        <v>6</v>
      </c>
      <c r="B47" s="4">
        <v>0</v>
      </c>
      <c r="C47" s="4">
        <v>0</v>
      </c>
      <c r="D47" s="4">
        <v>0.19</v>
      </c>
      <c r="E47" s="4">
        <v>18.809999999999999</v>
      </c>
      <c r="F47" s="4">
        <v>0</v>
      </c>
      <c r="G47" s="4">
        <v>0.38</v>
      </c>
      <c r="H47" s="4">
        <v>-55.38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9.6999999999999993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5">
        <v>0</v>
      </c>
      <c r="W47" s="5">
        <v>0</v>
      </c>
      <c r="X47" s="5">
        <v>26</v>
      </c>
      <c r="Y47" s="5">
        <v>0</v>
      </c>
      <c r="Z47" s="5">
        <v>0.3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8" t="s">
        <v>6</v>
      </c>
    </row>
    <row r="48" spans="1:74" x14ac:dyDescent="0.25">
      <c r="A48" s="8" t="s">
        <v>7</v>
      </c>
      <c r="B48" s="4">
        <v>0.19</v>
      </c>
      <c r="C48" s="4">
        <v>18.809999999999999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-98.62</v>
      </c>
      <c r="J48" s="4">
        <v>43.62</v>
      </c>
      <c r="K48" s="4">
        <v>0</v>
      </c>
      <c r="L48" s="4">
        <v>0</v>
      </c>
      <c r="M48" s="4">
        <v>0</v>
      </c>
      <c r="N48" s="4">
        <v>13.3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5">
        <v>22</v>
      </c>
      <c r="W48" s="5">
        <v>0</v>
      </c>
      <c r="X48" s="5">
        <v>0</v>
      </c>
      <c r="Y48" s="5">
        <v>0</v>
      </c>
      <c r="Z48" s="5">
        <v>0</v>
      </c>
      <c r="AA48" s="5">
        <v>0.70000000000000007</v>
      </c>
      <c r="AB48" s="5">
        <v>0</v>
      </c>
      <c r="AC48" s="5">
        <v>0</v>
      </c>
      <c r="AD48" s="5">
        <v>0</v>
      </c>
      <c r="AE48" s="5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8" t="s">
        <v>7</v>
      </c>
    </row>
    <row r="49" spans="1:37" x14ac:dyDescent="0.25">
      <c r="A49" s="8" t="s">
        <v>8</v>
      </c>
      <c r="B49" s="4">
        <v>0</v>
      </c>
      <c r="C49" s="4">
        <v>0.19</v>
      </c>
      <c r="D49" s="4">
        <v>18.809999999999999</v>
      </c>
      <c r="E49" s="4">
        <v>0</v>
      </c>
      <c r="F49" s="4">
        <v>0</v>
      </c>
      <c r="G49" s="4">
        <v>0</v>
      </c>
      <c r="H49" s="4">
        <v>0</v>
      </c>
      <c r="I49" s="4">
        <v>0.19</v>
      </c>
      <c r="J49" s="4">
        <v>-75</v>
      </c>
      <c r="K49" s="4">
        <v>21.81</v>
      </c>
      <c r="L49" s="4">
        <v>0</v>
      </c>
      <c r="M49" s="4">
        <v>0</v>
      </c>
      <c r="N49" s="4">
        <v>0</v>
      </c>
      <c r="O49" s="4">
        <v>6.6499999999999986</v>
      </c>
      <c r="P49" s="4">
        <v>4.8499999999999996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5">
        <v>0</v>
      </c>
      <c r="W49" s="5">
        <v>22</v>
      </c>
      <c r="X49" s="5">
        <v>0</v>
      </c>
      <c r="Y49" s="5">
        <v>0</v>
      </c>
      <c r="Z49" s="5">
        <v>0</v>
      </c>
      <c r="AA49" s="5">
        <v>0.15</v>
      </c>
      <c r="AB49" s="5">
        <v>0.35</v>
      </c>
      <c r="AC49" s="5">
        <v>0</v>
      </c>
      <c r="AD49" s="5">
        <v>0</v>
      </c>
      <c r="AE49" s="5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8" t="s">
        <v>8</v>
      </c>
    </row>
    <row r="50" spans="1:37" x14ac:dyDescent="0.25">
      <c r="A50" s="8" t="s">
        <v>9</v>
      </c>
      <c r="B50" s="4">
        <v>0</v>
      </c>
      <c r="C50" s="4">
        <v>0</v>
      </c>
      <c r="D50" s="4">
        <v>0.19</v>
      </c>
      <c r="E50" s="4">
        <v>18.809999999999999</v>
      </c>
      <c r="F50" s="4">
        <v>0</v>
      </c>
      <c r="G50" s="4">
        <v>0</v>
      </c>
      <c r="H50" s="4">
        <v>0</v>
      </c>
      <c r="I50" s="4">
        <v>0</v>
      </c>
      <c r="J50" s="4">
        <v>0.38</v>
      </c>
      <c r="K50" s="4">
        <v>-51.38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9.6999999999999993</v>
      </c>
      <c r="R50" s="4">
        <v>0</v>
      </c>
      <c r="S50" s="4">
        <v>0</v>
      </c>
      <c r="T50" s="4">
        <v>0</v>
      </c>
      <c r="U50" s="4">
        <v>0</v>
      </c>
      <c r="V50" s="5">
        <v>0</v>
      </c>
      <c r="W50" s="5">
        <v>0</v>
      </c>
      <c r="X50" s="5">
        <v>22</v>
      </c>
      <c r="Y50" s="5">
        <v>0</v>
      </c>
      <c r="Z50" s="5">
        <v>0</v>
      </c>
      <c r="AA50" s="5">
        <v>0</v>
      </c>
      <c r="AB50" s="5">
        <v>0.3</v>
      </c>
      <c r="AC50" s="5">
        <v>0</v>
      </c>
      <c r="AD50" s="5">
        <v>0</v>
      </c>
      <c r="AE50" s="5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8" t="s">
        <v>9</v>
      </c>
    </row>
    <row r="51" spans="1:37" x14ac:dyDescent="0.25">
      <c r="A51" s="8" t="s">
        <v>10</v>
      </c>
      <c r="B51" s="4">
        <v>0</v>
      </c>
      <c r="C51" s="4">
        <v>0</v>
      </c>
      <c r="D51" s="4">
        <v>0</v>
      </c>
      <c r="E51" s="4">
        <v>0</v>
      </c>
      <c r="F51" s="4">
        <v>0.38</v>
      </c>
      <c r="G51" s="4">
        <v>37.619999999999997</v>
      </c>
      <c r="H51" s="4">
        <v>0</v>
      </c>
      <c r="I51" s="4">
        <v>0</v>
      </c>
      <c r="J51" s="4">
        <v>0</v>
      </c>
      <c r="K51" s="4">
        <v>0</v>
      </c>
      <c r="L51" s="4">
        <v>-118.81</v>
      </c>
      <c r="M51" s="4">
        <v>21.81</v>
      </c>
      <c r="N51" s="4">
        <v>0</v>
      </c>
      <c r="O51" s="4">
        <v>0</v>
      </c>
      <c r="P51" s="4">
        <v>0</v>
      </c>
      <c r="Q51" s="4">
        <v>0</v>
      </c>
      <c r="R51" s="4">
        <v>6.6499999999999986</v>
      </c>
      <c r="S51" s="4">
        <v>0</v>
      </c>
      <c r="T51" s="4">
        <v>0</v>
      </c>
      <c r="U51" s="4">
        <v>0</v>
      </c>
      <c r="V51" s="5">
        <v>0</v>
      </c>
      <c r="W51" s="5">
        <v>0</v>
      </c>
      <c r="X51" s="5">
        <v>0</v>
      </c>
      <c r="Y51" s="5">
        <v>52</v>
      </c>
      <c r="Z51" s="5">
        <v>0</v>
      </c>
      <c r="AA51" s="5">
        <v>0</v>
      </c>
      <c r="AB51" s="5">
        <v>0</v>
      </c>
      <c r="AC51" s="5">
        <v>0.35</v>
      </c>
      <c r="AD51" s="5">
        <v>0</v>
      </c>
      <c r="AE51" s="5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8" t="s">
        <v>10</v>
      </c>
    </row>
    <row r="52" spans="1:37" x14ac:dyDescent="0.25">
      <c r="A52" s="8" t="s">
        <v>11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0.38</v>
      </c>
      <c r="H52" s="4">
        <v>37.619999999999997</v>
      </c>
      <c r="I52" s="4">
        <v>0</v>
      </c>
      <c r="J52" s="4">
        <v>0</v>
      </c>
      <c r="K52" s="4">
        <v>0</v>
      </c>
      <c r="L52" s="4">
        <v>0.19</v>
      </c>
      <c r="M52" s="4">
        <v>-95.19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4.8499999999999996</v>
      </c>
      <c r="T52" s="4">
        <v>0</v>
      </c>
      <c r="U52" s="4">
        <v>0</v>
      </c>
      <c r="V52" s="5">
        <v>0</v>
      </c>
      <c r="W52" s="5">
        <v>0</v>
      </c>
      <c r="X52" s="5">
        <v>0</v>
      </c>
      <c r="Y52" s="5">
        <v>0</v>
      </c>
      <c r="Z52" s="5">
        <v>52</v>
      </c>
      <c r="AA52" s="5">
        <v>0</v>
      </c>
      <c r="AB52" s="5">
        <v>0</v>
      </c>
      <c r="AC52" s="5">
        <v>0.15</v>
      </c>
      <c r="AD52" s="5">
        <v>0</v>
      </c>
      <c r="AE52" s="5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8" t="s">
        <v>11</v>
      </c>
    </row>
    <row r="53" spans="1:37" x14ac:dyDescent="0.25">
      <c r="A53" s="8" t="s">
        <v>12</v>
      </c>
      <c r="B53" s="4">
        <v>0</v>
      </c>
      <c r="C53" s="4">
        <v>0</v>
      </c>
      <c r="D53" s="4">
        <v>0</v>
      </c>
      <c r="E53" s="4">
        <v>0</v>
      </c>
      <c r="F53" s="4">
        <v>0.19</v>
      </c>
      <c r="G53" s="4">
        <v>18.809999999999999</v>
      </c>
      <c r="H53" s="4">
        <v>0</v>
      </c>
      <c r="I53" s="4">
        <v>0.19</v>
      </c>
      <c r="J53" s="4">
        <v>18.809999999999999</v>
      </c>
      <c r="K53" s="4">
        <v>0</v>
      </c>
      <c r="L53" s="4">
        <v>0</v>
      </c>
      <c r="M53" s="4">
        <v>0</v>
      </c>
      <c r="N53" s="4">
        <v>-114.81</v>
      </c>
      <c r="O53" s="4">
        <v>21.81</v>
      </c>
      <c r="P53" s="4">
        <v>0</v>
      </c>
      <c r="Q53" s="4">
        <v>0</v>
      </c>
      <c r="R53" s="4">
        <v>0</v>
      </c>
      <c r="S53" s="4">
        <v>6.6499999999999986</v>
      </c>
      <c r="T53" s="4">
        <v>0</v>
      </c>
      <c r="U53" s="4">
        <v>0</v>
      </c>
      <c r="V53" s="5">
        <v>0</v>
      </c>
      <c r="W53" s="5">
        <v>0</v>
      </c>
      <c r="X53" s="5">
        <v>0</v>
      </c>
      <c r="Y53" s="5">
        <v>22</v>
      </c>
      <c r="Z53" s="5">
        <v>0</v>
      </c>
      <c r="AA53" s="5">
        <v>26</v>
      </c>
      <c r="AB53" s="5">
        <v>0</v>
      </c>
      <c r="AC53" s="5">
        <v>0</v>
      </c>
      <c r="AD53" s="5">
        <v>0.35</v>
      </c>
      <c r="AE53" s="5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8" t="s">
        <v>12</v>
      </c>
    </row>
    <row r="54" spans="1:37" x14ac:dyDescent="0.25">
      <c r="A54" s="8" t="s">
        <v>13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0.19</v>
      </c>
      <c r="H54" s="4">
        <v>18.809999999999999</v>
      </c>
      <c r="I54" s="4">
        <v>0</v>
      </c>
      <c r="J54" s="4">
        <v>0.19</v>
      </c>
      <c r="K54" s="4">
        <v>18.809999999999999</v>
      </c>
      <c r="L54" s="4">
        <v>0</v>
      </c>
      <c r="M54" s="4">
        <v>0</v>
      </c>
      <c r="N54" s="4">
        <v>0.19</v>
      </c>
      <c r="O54" s="4">
        <v>-91.19</v>
      </c>
      <c r="P54" s="4">
        <v>0</v>
      </c>
      <c r="Q54" s="4">
        <v>0</v>
      </c>
      <c r="R54" s="4">
        <v>0</v>
      </c>
      <c r="S54" s="4">
        <v>0</v>
      </c>
      <c r="T54" s="4">
        <v>4.8499999999999996</v>
      </c>
      <c r="U54" s="4">
        <v>0</v>
      </c>
      <c r="V54" s="5">
        <v>0</v>
      </c>
      <c r="W54" s="5">
        <v>0</v>
      </c>
      <c r="X54" s="5">
        <v>0</v>
      </c>
      <c r="Y54" s="5">
        <v>0</v>
      </c>
      <c r="Z54" s="5">
        <v>22</v>
      </c>
      <c r="AA54" s="5">
        <v>0</v>
      </c>
      <c r="AB54" s="5">
        <v>26</v>
      </c>
      <c r="AC54" s="5">
        <v>0</v>
      </c>
      <c r="AD54" s="5">
        <v>0.15</v>
      </c>
      <c r="AE54" s="5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8" t="s">
        <v>13</v>
      </c>
    </row>
    <row r="55" spans="1:37" x14ac:dyDescent="0.25">
      <c r="A55" s="8" t="s">
        <v>14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0.38</v>
      </c>
      <c r="J55" s="4">
        <v>37.619999999999997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-110.81</v>
      </c>
      <c r="Q55" s="4">
        <v>21.81</v>
      </c>
      <c r="R55" s="4">
        <v>0</v>
      </c>
      <c r="S55" s="4">
        <v>0</v>
      </c>
      <c r="T55" s="4">
        <v>6.6499999999999986</v>
      </c>
      <c r="U55" s="4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44</v>
      </c>
      <c r="AB55" s="5">
        <v>0</v>
      </c>
      <c r="AC55" s="5">
        <v>0</v>
      </c>
      <c r="AD55" s="5">
        <v>0</v>
      </c>
      <c r="AE55" s="5">
        <v>0.35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8" t="s">
        <v>14</v>
      </c>
    </row>
    <row r="56" spans="1:37" x14ac:dyDescent="0.25">
      <c r="A56" s="8" t="s">
        <v>15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0.38</v>
      </c>
      <c r="K56" s="4">
        <v>37.619999999999997</v>
      </c>
      <c r="L56" s="4">
        <v>0</v>
      </c>
      <c r="M56" s="4">
        <v>0</v>
      </c>
      <c r="N56" s="4">
        <v>0</v>
      </c>
      <c r="O56" s="4">
        <v>0</v>
      </c>
      <c r="P56" s="4">
        <v>0.19</v>
      </c>
      <c r="Q56" s="4">
        <v>-87.19</v>
      </c>
      <c r="R56" s="4">
        <v>0</v>
      </c>
      <c r="S56" s="4">
        <v>0</v>
      </c>
      <c r="T56" s="4">
        <v>0</v>
      </c>
      <c r="U56" s="4">
        <v>4.8499999999999996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44</v>
      </c>
      <c r="AC56" s="5">
        <v>0</v>
      </c>
      <c r="AD56" s="5">
        <v>0</v>
      </c>
      <c r="AE56" s="5">
        <v>0.15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8" t="s">
        <v>15</v>
      </c>
    </row>
    <row r="57" spans="1:37" x14ac:dyDescent="0.25">
      <c r="A57" s="8" t="s">
        <v>16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0.57000000000000006</v>
      </c>
      <c r="M57" s="4">
        <v>56.43</v>
      </c>
      <c r="N57" s="4">
        <v>0</v>
      </c>
      <c r="O57" s="4">
        <v>0</v>
      </c>
      <c r="P57" s="4">
        <v>0</v>
      </c>
      <c r="Q57" s="4">
        <v>0</v>
      </c>
      <c r="R57" s="4">
        <v>-135</v>
      </c>
      <c r="S57" s="4">
        <v>0</v>
      </c>
      <c r="T57" s="4">
        <v>0</v>
      </c>
      <c r="U57" s="4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78</v>
      </c>
      <c r="AD57" s="5">
        <v>0</v>
      </c>
      <c r="AE57" s="5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8" t="s">
        <v>16</v>
      </c>
    </row>
    <row r="58" spans="1:37" x14ac:dyDescent="0.25">
      <c r="A58" s="8" t="s">
        <v>17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0.19</v>
      </c>
      <c r="M58" s="4">
        <v>18.809999999999999</v>
      </c>
      <c r="N58" s="4">
        <v>0.38</v>
      </c>
      <c r="O58" s="4">
        <v>37.619999999999997</v>
      </c>
      <c r="P58" s="4">
        <v>0</v>
      </c>
      <c r="Q58" s="4">
        <v>0</v>
      </c>
      <c r="R58" s="4">
        <v>0</v>
      </c>
      <c r="S58" s="4">
        <v>-131</v>
      </c>
      <c r="T58" s="4">
        <v>0</v>
      </c>
      <c r="U58" s="4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22</v>
      </c>
      <c r="AD58" s="5">
        <v>52</v>
      </c>
      <c r="AE58" s="5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8" t="s">
        <v>17</v>
      </c>
    </row>
    <row r="59" spans="1:37" x14ac:dyDescent="0.25">
      <c r="A59" s="8" t="s">
        <v>18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0.38</v>
      </c>
      <c r="O59" s="4">
        <v>37.619999999999997</v>
      </c>
      <c r="P59" s="4">
        <v>0.19</v>
      </c>
      <c r="Q59" s="4">
        <v>18.809999999999999</v>
      </c>
      <c r="R59" s="4">
        <v>0</v>
      </c>
      <c r="S59" s="4">
        <v>0</v>
      </c>
      <c r="T59" s="4">
        <v>-127</v>
      </c>
      <c r="U59" s="4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44</v>
      </c>
      <c r="AE59" s="5">
        <v>26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8" t="s">
        <v>18</v>
      </c>
    </row>
    <row r="60" spans="1:37" x14ac:dyDescent="0.25">
      <c r="A60" s="8" t="s">
        <v>19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0.57000000000000006</v>
      </c>
      <c r="Q60" s="4">
        <v>56.43</v>
      </c>
      <c r="R60" s="4">
        <v>0</v>
      </c>
      <c r="S60" s="4">
        <v>0</v>
      </c>
      <c r="T60" s="4">
        <v>0</v>
      </c>
      <c r="U60" s="4">
        <v>-123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66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8" t="s">
        <v>19</v>
      </c>
    </row>
    <row r="61" spans="1:37" x14ac:dyDescent="0.25">
      <c r="A61" s="8" t="s">
        <v>20</v>
      </c>
      <c r="B61" s="10">
        <v>31.888940000000002</v>
      </c>
      <c r="C61" s="10">
        <v>67.731059999999999</v>
      </c>
      <c r="D61" s="10">
        <v>0</v>
      </c>
      <c r="E61" s="10">
        <v>0</v>
      </c>
      <c r="F61" s="10">
        <v>2.3538199999999998</v>
      </c>
      <c r="G61" s="10">
        <v>0</v>
      </c>
      <c r="H61" s="10">
        <v>0</v>
      </c>
      <c r="I61" s="10">
        <v>2.6179999999999998E-2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4">
        <v>-173.62</v>
      </c>
      <c r="W61" s="4">
        <v>43.62</v>
      </c>
      <c r="X61" s="4">
        <v>0</v>
      </c>
      <c r="Y61" s="4">
        <v>26.6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5">
        <v>1.4</v>
      </c>
      <c r="AG61" s="5">
        <v>0</v>
      </c>
      <c r="AH61" s="5">
        <v>0</v>
      </c>
      <c r="AI61" s="5">
        <v>0</v>
      </c>
      <c r="AJ61" s="3">
        <v>0</v>
      </c>
      <c r="AK61" s="8" t="s">
        <v>20</v>
      </c>
    </row>
    <row r="62" spans="1:37" x14ac:dyDescent="0.25">
      <c r="A62" s="8" t="s">
        <v>21</v>
      </c>
      <c r="B62" s="10">
        <v>0</v>
      </c>
      <c r="C62" s="10">
        <v>31.888940000000002</v>
      </c>
      <c r="D62" s="10">
        <v>67.731059999999999</v>
      </c>
      <c r="E62" s="10">
        <v>0</v>
      </c>
      <c r="F62" s="10">
        <v>0</v>
      </c>
      <c r="G62" s="10">
        <v>2.3538199999999998</v>
      </c>
      <c r="H62" s="10">
        <v>0</v>
      </c>
      <c r="I62" s="10">
        <v>0</v>
      </c>
      <c r="J62" s="10">
        <v>2.6179999999999998E-2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4">
        <v>0.19</v>
      </c>
      <c r="W62" s="4">
        <v>-148</v>
      </c>
      <c r="X62" s="4">
        <v>21.81</v>
      </c>
      <c r="Y62" s="4">
        <v>0</v>
      </c>
      <c r="Z62" s="4">
        <v>13.3</v>
      </c>
      <c r="AA62" s="4">
        <v>9.6999999999999993</v>
      </c>
      <c r="AB62" s="4">
        <v>0</v>
      </c>
      <c r="AC62" s="4">
        <v>0</v>
      </c>
      <c r="AD62" s="4">
        <v>0</v>
      </c>
      <c r="AE62" s="4">
        <v>0</v>
      </c>
      <c r="AF62" s="5">
        <v>0.3</v>
      </c>
      <c r="AG62" s="5">
        <v>0.70000000000000007</v>
      </c>
      <c r="AH62" s="5">
        <v>0</v>
      </c>
      <c r="AI62" s="5">
        <v>0</v>
      </c>
      <c r="AJ62" s="3">
        <v>0</v>
      </c>
      <c r="AK62" s="8" t="s">
        <v>21</v>
      </c>
    </row>
    <row r="63" spans="1:37" x14ac:dyDescent="0.25">
      <c r="A63" s="8" t="s">
        <v>22</v>
      </c>
      <c r="B63" s="10">
        <v>0</v>
      </c>
      <c r="C63" s="10">
        <v>0</v>
      </c>
      <c r="D63" s="10">
        <v>31.888940000000002</v>
      </c>
      <c r="E63" s="10">
        <v>67.731059999999999</v>
      </c>
      <c r="F63" s="10">
        <v>0</v>
      </c>
      <c r="G63" s="10">
        <v>0</v>
      </c>
      <c r="H63" s="10">
        <v>2.3538199999999998</v>
      </c>
      <c r="I63" s="10">
        <v>0</v>
      </c>
      <c r="J63" s="10">
        <v>0</v>
      </c>
      <c r="K63" s="10">
        <v>2.6179999999999998E-2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4">
        <v>0</v>
      </c>
      <c r="W63" s="4">
        <v>0.38</v>
      </c>
      <c r="X63" s="4">
        <v>-122.38</v>
      </c>
      <c r="Y63" s="4">
        <v>0</v>
      </c>
      <c r="Z63" s="4">
        <v>0</v>
      </c>
      <c r="AA63" s="4">
        <v>0</v>
      </c>
      <c r="AB63" s="4">
        <v>19.399999999999999</v>
      </c>
      <c r="AC63" s="4">
        <v>0</v>
      </c>
      <c r="AD63" s="4">
        <v>0</v>
      </c>
      <c r="AE63" s="4">
        <v>0</v>
      </c>
      <c r="AF63" s="5">
        <v>0</v>
      </c>
      <c r="AG63" s="5">
        <v>0.6</v>
      </c>
      <c r="AH63" s="5">
        <v>0</v>
      </c>
      <c r="AI63" s="5">
        <v>0</v>
      </c>
      <c r="AJ63" s="3">
        <v>0</v>
      </c>
      <c r="AK63" s="8" t="s">
        <v>22</v>
      </c>
    </row>
    <row r="64" spans="1:37" x14ac:dyDescent="0.25">
      <c r="A64" s="8" t="s">
        <v>23</v>
      </c>
      <c r="B64" s="10">
        <v>0</v>
      </c>
      <c r="C64" s="10">
        <v>0</v>
      </c>
      <c r="D64" s="10">
        <v>0</v>
      </c>
      <c r="E64" s="10">
        <v>0</v>
      </c>
      <c r="F64" s="10">
        <v>31.888940000000002</v>
      </c>
      <c r="G64" s="10">
        <v>67.731059999999999</v>
      </c>
      <c r="H64" s="10">
        <v>0</v>
      </c>
      <c r="I64" s="10">
        <v>0</v>
      </c>
      <c r="J64" s="10">
        <v>0</v>
      </c>
      <c r="K64" s="10">
        <v>0</v>
      </c>
      <c r="L64" s="10">
        <v>2.3538199999999998</v>
      </c>
      <c r="M64" s="10">
        <v>0</v>
      </c>
      <c r="N64" s="10">
        <v>2.6179999999999998E-2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4">
        <v>0.19</v>
      </c>
      <c r="W64" s="4">
        <v>18.809999999999999</v>
      </c>
      <c r="X64" s="4">
        <v>0</v>
      </c>
      <c r="Y64" s="4">
        <v>-195.81</v>
      </c>
      <c r="Z64" s="4">
        <v>21.81</v>
      </c>
      <c r="AA64" s="4">
        <v>0</v>
      </c>
      <c r="AB64" s="4">
        <v>0</v>
      </c>
      <c r="AC64" s="4">
        <v>13.3</v>
      </c>
      <c r="AD64" s="4">
        <v>0</v>
      </c>
      <c r="AE64" s="4">
        <v>0</v>
      </c>
      <c r="AF64" s="5">
        <v>39</v>
      </c>
      <c r="AG64" s="5">
        <v>0</v>
      </c>
      <c r="AH64" s="5">
        <v>0.70000000000000007</v>
      </c>
      <c r="AI64" s="5">
        <v>0</v>
      </c>
      <c r="AJ64" s="3">
        <v>0</v>
      </c>
      <c r="AK64" s="8" t="s">
        <v>23</v>
      </c>
    </row>
    <row r="65" spans="1:37" x14ac:dyDescent="0.25">
      <c r="A65" s="8" t="s">
        <v>24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31.888940000000002</v>
      </c>
      <c r="H65" s="10">
        <v>67.731059999999999</v>
      </c>
      <c r="I65" s="10">
        <v>0</v>
      </c>
      <c r="J65" s="10">
        <v>0</v>
      </c>
      <c r="K65" s="10">
        <v>0</v>
      </c>
      <c r="L65" s="10">
        <v>0</v>
      </c>
      <c r="M65" s="10">
        <v>2.3538199999999998</v>
      </c>
      <c r="N65" s="10">
        <v>0</v>
      </c>
      <c r="O65" s="10">
        <v>2.6179999999999998E-2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4">
        <v>0</v>
      </c>
      <c r="W65" s="4">
        <v>0.19</v>
      </c>
      <c r="X65" s="4">
        <v>18.809999999999999</v>
      </c>
      <c r="Y65" s="4">
        <v>0.19</v>
      </c>
      <c r="Z65" s="4">
        <v>-170.19</v>
      </c>
      <c r="AA65" s="4">
        <v>0</v>
      </c>
      <c r="AB65" s="4">
        <v>0</v>
      </c>
      <c r="AC65" s="4">
        <v>0</v>
      </c>
      <c r="AD65" s="4">
        <v>9.6999999999999993</v>
      </c>
      <c r="AE65" s="4">
        <v>0</v>
      </c>
      <c r="AF65" s="5">
        <v>0</v>
      </c>
      <c r="AG65" s="5">
        <v>39</v>
      </c>
      <c r="AH65" s="5">
        <v>0.3</v>
      </c>
      <c r="AI65" s="5">
        <v>0</v>
      </c>
      <c r="AJ65" s="3">
        <v>0</v>
      </c>
      <c r="AK65" s="8" t="s">
        <v>24</v>
      </c>
    </row>
    <row r="66" spans="1:37" x14ac:dyDescent="0.25">
      <c r="A66" s="8" t="s">
        <v>25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31.888940000000002</v>
      </c>
      <c r="J66" s="10">
        <v>67.731059999999999</v>
      </c>
      <c r="K66" s="10">
        <v>0</v>
      </c>
      <c r="L66" s="10">
        <v>0</v>
      </c>
      <c r="M66" s="10">
        <v>0</v>
      </c>
      <c r="N66" s="10">
        <v>2.3538199999999998</v>
      </c>
      <c r="O66" s="10">
        <v>0</v>
      </c>
      <c r="P66" s="10">
        <v>2.6179999999999998E-2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4">
        <v>0.19</v>
      </c>
      <c r="W66" s="4">
        <v>18.809999999999999</v>
      </c>
      <c r="X66" s="4">
        <v>0</v>
      </c>
      <c r="Y66" s="4">
        <v>0</v>
      </c>
      <c r="Z66" s="4">
        <v>0</v>
      </c>
      <c r="AA66" s="4">
        <v>-189.81</v>
      </c>
      <c r="AB66" s="4">
        <v>21.81</v>
      </c>
      <c r="AC66" s="4">
        <v>0</v>
      </c>
      <c r="AD66" s="4">
        <v>13.3</v>
      </c>
      <c r="AE66" s="4">
        <v>0</v>
      </c>
      <c r="AF66" s="5">
        <v>33</v>
      </c>
      <c r="AG66" s="5">
        <v>0</v>
      </c>
      <c r="AH66" s="5">
        <v>0</v>
      </c>
      <c r="AI66" s="5">
        <v>0.70000000000000007</v>
      </c>
      <c r="AJ66" s="3">
        <v>0</v>
      </c>
      <c r="AK66" s="8" t="s">
        <v>25</v>
      </c>
    </row>
    <row r="67" spans="1:37" x14ac:dyDescent="0.25">
      <c r="A67" s="8" t="s">
        <v>26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31.888940000000002</v>
      </c>
      <c r="K67" s="10">
        <v>67.731059999999999</v>
      </c>
      <c r="L67" s="10">
        <v>0</v>
      </c>
      <c r="M67" s="10">
        <v>0</v>
      </c>
      <c r="N67" s="10">
        <v>0</v>
      </c>
      <c r="O67" s="10">
        <v>2.3538199999999998</v>
      </c>
      <c r="P67" s="10">
        <v>0</v>
      </c>
      <c r="Q67" s="10">
        <v>2.6179999999999998E-2</v>
      </c>
      <c r="R67" s="10">
        <v>0</v>
      </c>
      <c r="S67" s="10">
        <v>0</v>
      </c>
      <c r="T67" s="10">
        <v>0</v>
      </c>
      <c r="U67" s="10">
        <v>0</v>
      </c>
      <c r="V67" s="4">
        <v>0</v>
      </c>
      <c r="W67" s="4">
        <v>0.19</v>
      </c>
      <c r="X67" s="4">
        <v>18.809999999999999</v>
      </c>
      <c r="Y67" s="4">
        <v>0</v>
      </c>
      <c r="Z67" s="4">
        <v>0</v>
      </c>
      <c r="AA67" s="4">
        <v>0.19</v>
      </c>
      <c r="AB67" s="4">
        <v>-164.19</v>
      </c>
      <c r="AC67" s="4">
        <v>0</v>
      </c>
      <c r="AD67" s="4">
        <v>0</v>
      </c>
      <c r="AE67" s="4">
        <v>9.6999999999999993</v>
      </c>
      <c r="AF67" s="5">
        <v>0</v>
      </c>
      <c r="AG67" s="5">
        <v>33</v>
      </c>
      <c r="AH67" s="5">
        <v>0</v>
      </c>
      <c r="AI67" s="5">
        <v>0.3</v>
      </c>
      <c r="AJ67" s="3">
        <v>0</v>
      </c>
      <c r="AK67" s="8" t="s">
        <v>26</v>
      </c>
    </row>
    <row r="68" spans="1:37" x14ac:dyDescent="0.25">
      <c r="A68" s="8" t="s">
        <v>27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31.888940000000002</v>
      </c>
      <c r="M68" s="10">
        <v>67.731059999999999</v>
      </c>
      <c r="N68" s="10">
        <v>0</v>
      </c>
      <c r="O68" s="10">
        <v>0</v>
      </c>
      <c r="P68" s="10">
        <v>0</v>
      </c>
      <c r="Q68" s="10">
        <v>0</v>
      </c>
      <c r="R68" s="10">
        <v>2.3538199999999998</v>
      </c>
      <c r="S68" s="10">
        <v>2.6179999999999998E-2</v>
      </c>
      <c r="T68" s="10">
        <v>0</v>
      </c>
      <c r="U68" s="10">
        <v>0</v>
      </c>
      <c r="V68" s="4">
        <v>0</v>
      </c>
      <c r="W68" s="4">
        <v>0</v>
      </c>
      <c r="X68" s="4">
        <v>0</v>
      </c>
      <c r="Y68" s="4">
        <v>0.38</v>
      </c>
      <c r="Z68" s="4">
        <v>37.619999999999997</v>
      </c>
      <c r="AA68" s="4">
        <v>0</v>
      </c>
      <c r="AB68" s="4">
        <v>0</v>
      </c>
      <c r="AC68" s="4">
        <v>-218</v>
      </c>
      <c r="AD68" s="4">
        <v>0</v>
      </c>
      <c r="AE68" s="4">
        <v>0</v>
      </c>
      <c r="AF68" s="5">
        <v>0</v>
      </c>
      <c r="AG68" s="5">
        <v>0</v>
      </c>
      <c r="AH68" s="5">
        <v>78</v>
      </c>
      <c r="AI68" s="5">
        <v>0</v>
      </c>
      <c r="AJ68" s="3">
        <v>0</v>
      </c>
      <c r="AK68" s="8" t="s">
        <v>27</v>
      </c>
    </row>
    <row r="69" spans="1:37" x14ac:dyDescent="0.25">
      <c r="A69" s="8" t="s">
        <v>28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31.888940000000002</v>
      </c>
      <c r="O69" s="10">
        <v>67.731059999999999</v>
      </c>
      <c r="P69" s="10">
        <v>0</v>
      </c>
      <c r="Q69" s="10">
        <v>0</v>
      </c>
      <c r="R69" s="10">
        <v>0</v>
      </c>
      <c r="S69" s="10">
        <v>2.3538199999999998</v>
      </c>
      <c r="T69" s="10">
        <v>2.6179999999999998E-2</v>
      </c>
      <c r="U69" s="10">
        <v>0</v>
      </c>
      <c r="V69" s="4">
        <v>0</v>
      </c>
      <c r="W69" s="4">
        <v>0</v>
      </c>
      <c r="X69" s="4">
        <v>0</v>
      </c>
      <c r="Y69" s="4">
        <v>0.19</v>
      </c>
      <c r="Z69" s="4">
        <v>18.809999999999999</v>
      </c>
      <c r="AA69" s="4">
        <v>0.19</v>
      </c>
      <c r="AB69" s="4">
        <v>18.809999999999999</v>
      </c>
      <c r="AC69" s="4">
        <v>0</v>
      </c>
      <c r="AD69" s="4">
        <v>-212</v>
      </c>
      <c r="AE69" s="4">
        <v>0</v>
      </c>
      <c r="AF69" s="5">
        <v>0</v>
      </c>
      <c r="AG69" s="5">
        <v>0</v>
      </c>
      <c r="AH69" s="5">
        <v>33</v>
      </c>
      <c r="AI69" s="5">
        <v>39</v>
      </c>
      <c r="AJ69" s="3">
        <v>0</v>
      </c>
      <c r="AK69" s="8" t="s">
        <v>28</v>
      </c>
    </row>
    <row r="70" spans="1:37" x14ac:dyDescent="0.25">
      <c r="A70" s="8" t="s">
        <v>29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31.888940000000002</v>
      </c>
      <c r="Q70" s="10">
        <v>67.731059999999999</v>
      </c>
      <c r="R70" s="10">
        <v>0</v>
      </c>
      <c r="S70" s="10">
        <v>0</v>
      </c>
      <c r="T70" s="10">
        <v>2.3538199999999998</v>
      </c>
      <c r="U70" s="10">
        <v>2.6179999999999998E-2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0.38</v>
      </c>
      <c r="AB70" s="4">
        <v>37.619999999999997</v>
      </c>
      <c r="AC70" s="4">
        <v>0</v>
      </c>
      <c r="AD70" s="4">
        <v>0</v>
      </c>
      <c r="AE70" s="4">
        <v>-206</v>
      </c>
      <c r="AF70" s="5">
        <v>0</v>
      </c>
      <c r="AG70" s="5">
        <v>0</v>
      </c>
      <c r="AH70" s="5">
        <v>0</v>
      </c>
      <c r="AI70" s="5">
        <v>66</v>
      </c>
      <c r="AJ70" s="3">
        <v>0</v>
      </c>
      <c r="AK70" s="8" t="s">
        <v>29</v>
      </c>
    </row>
    <row r="71" spans="1:37" x14ac:dyDescent="0.25">
      <c r="A71" s="8" t="s">
        <v>30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10">
        <v>47.833410000000001</v>
      </c>
      <c r="W71" s="10">
        <v>101.59659000000001</v>
      </c>
      <c r="X71" s="10">
        <v>0</v>
      </c>
      <c r="Y71" s="10">
        <v>3.5307300000000001</v>
      </c>
      <c r="Z71" s="10">
        <v>0</v>
      </c>
      <c r="AA71" s="10">
        <v>3.9269999999999999E-2</v>
      </c>
      <c r="AB71" s="10">
        <v>0</v>
      </c>
      <c r="AC71" s="10">
        <v>0</v>
      </c>
      <c r="AD71" s="10">
        <v>0</v>
      </c>
      <c r="AE71" s="10">
        <v>0</v>
      </c>
      <c r="AF71" s="4">
        <v>-195.81</v>
      </c>
      <c r="AG71" s="4">
        <v>21.81</v>
      </c>
      <c r="AH71" s="4">
        <v>19.95</v>
      </c>
      <c r="AI71" s="4">
        <v>0</v>
      </c>
      <c r="AJ71" s="5">
        <v>1.05</v>
      </c>
      <c r="AK71" s="8" t="s">
        <v>30</v>
      </c>
    </row>
    <row r="72" spans="1:37" x14ac:dyDescent="0.25">
      <c r="A72" s="8" t="s">
        <v>31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10">
        <v>0</v>
      </c>
      <c r="W72" s="10">
        <v>47.833410000000001</v>
      </c>
      <c r="X72" s="10">
        <v>101.59659000000001</v>
      </c>
      <c r="Y72" s="10">
        <v>0</v>
      </c>
      <c r="Z72" s="10">
        <v>3.5307300000000001</v>
      </c>
      <c r="AA72" s="10">
        <v>0</v>
      </c>
      <c r="AB72" s="10">
        <v>3.9269999999999999E-2</v>
      </c>
      <c r="AC72" s="10">
        <v>0</v>
      </c>
      <c r="AD72" s="10">
        <v>0</v>
      </c>
      <c r="AE72" s="10">
        <v>0</v>
      </c>
      <c r="AF72" s="4">
        <v>0.19</v>
      </c>
      <c r="AG72" s="4">
        <v>-168.19</v>
      </c>
      <c r="AH72" s="4">
        <v>0</v>
      </c>
      <c r="AI72" s="4">
        <v>14.55</v>
      </c>
      <c r="AJ72" s="5">
        <v>0.45</v>
      </c>
      <c r="AK72" s="8" t="s">
        <v>31</v>
      </c>
    </row>
    <row r="73" spans="1:37" x14ac:dyDescent="0.25">
      <c r="A73" s="8" t="s">
        <v>32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10">
        <v>0</v>
      </c>
      <c r="W73" s="10">
        <v>0</v>
      </c>
      <c r="X73" s="10">
        <v>0</v>
      </c>
      <c r="Y73" s="10">
        <v>47.833410000000001</v>
      </c>
      <c r="Z73" s="10">
        <v>101.59659000000001</v>
      </c>
      <c r="AA73" s="10">
        <v>0</v>
      </c>
      <c r="AB73" s="10">
        <v>0</v>
      </c>
      <c r="AC73" s="10">
        <v>3.5307300000000001</v>
      </c>
      <c r="AD73" s="10">
        <v>3.9269999999999999E-2</v>
      </c>
      <c r="AE73" s="10">
        <v>0</v>
      </c>
      <c r="AF73" s="4">
        <v>0.19</v>
      </c>
      <c r="AG73" s="4">
        <v>18.809999999999999</v>
      </c>
      <c r="AH73" s="4">
        <v>-224</v>
      </c>
      <c r="AI73" s="4">
        <v>0</v>
      </c>
      <c r="AJ73" s="5">
        <v>52</v>
      </c>
      <c r="AK73" s="8" t="s">
        <v>32</v>
      </c>
    </row>
    <row r="74" spans="1:37" x14ac:dyDescent="0.25">
      <c r="A74" s="8" t="s">
        <v>33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47.833410000000001</v>
      </c>
      <c r="AB74" s="10">
        <v>101.59659000000001</v>
      </c>
      <c r="AC74" s="10">
        <v>0</v>
      </c>
      <c r="AD74" s="10">
        <v>3.5307300000000001</v>
      </c>
      <c r="AE74" s="10">
        <v>3.9269999999999999E-2</v>
      </c>
      <c r="AF74" s="4">
        <v>0.19</v>
      </c>
      <c r="AG74" s="4">
        <v>18.809999999999999</v>
      </c>
      <c r="AH74" s="4">
        <v>0</v>
      </c>
      <c r="AI74" s="4">
        <v>-216</v>
      </c>
      <c r="AJ74" s="5">
        <v>44</v>
      </c>
      <c r="AK74" s="8" t="s">
        <v>33</v>
      </c>
    </row>
    <row r="75" spans="1:37" x14ac:dyDescent="0.25">
      <c r="A75" s="8" t="s">
        <v>34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10">
        <v>63.777880000000003</v>
      </c>
      <c r="AG75" s="10">
        <v>135.46212</v>
      </c>
      <c r="AH75" s="10">
        <v>4.7076399999999996</v>
      </c>
      <c r="AI75" s="10">
        <v>5.2359999999999997E-2</v>
      </c>
      <c r="AJ75" s="4">
        <v>-204</v>
      </c>
      <c r="AK75" s="8" t="s">
        <v>34</v>
      </c>
    </row>
    <row r="76" spans="1:37" x14ac:dyDescent="0.25">
      <c r="A76" s="3"/>
      <c r="B76" s="8" t="s">
        <v>0</v>
      </c>
      <c r="C76" s="8" t="s">
        <v>1</v>
      </c>
      <c r="D76" s="8" t="s">
        <v>2</v>
      </c>
      <c r="E76" s="8" t="s">
        <v>3</v>
      </c>
      <c r="F76" s="8" t="s">
        <v>4</v>
      </c>
      <c r="G76" s="8" t="s">
        <v>5</v>
      </c>
      <c r="H76" s="8" t="s">
        <v>6</v>
      </c>
      <c r="I76" s="8" t="s">
        <v>7</v>
      </c>
      <c r="J76" s="8" t="s">
        <v>8</v>
      </c>
      <c r="K76" s="8" t="s">
        <v>9</v>
      </c>
      <c r="L76" s="8" t="s">
        <v>10</v>
      </c>
      <c r="M76" s="8" t="s">
        <v>11</v>
      </c>
      <c r="N76" s="8" t="s">
        <v>12</v>
      </c>
      <c r="O76" s="8" t="s">
        <v>13</v>
      </c>
      <c r="P76" s="8" t="s">
        <v>14</v>
      </c>
      <c r="Q76" s="8" t="s">
        <v>15</v>
      </c>
      <c r="R76" s="8" t="s">
        <v>16</v>
      </c>
      <c r="S76" s="8" t="s">
        <v>17</v>
      </c>
      <c r="T76" s="8" t="s">
        <v>18</v>
      </c>
      <c r="U76" s="8" t="s">
        <v>19</v>
      </c>
      <c r="V76" s="8" t="s">
        <v>20</v>
      </c>
      <c r="W76" s="8" t="s">
        <v>21</v>
      </c>
      <c r="X76" s="8" t="s">
        <v>22</v>
      </c>
      <c r="Y76" s="8" t="s">
        <v>23</v>
      </c>
      <c r="Z76" s="8" t="s">
        <v>24</v>
      </c>
      <c r="AA76" s="8" t="s">
        <v>25</v>
      </c>
      <c r="AB76" s="8" t="s">
        <v>26</v>
      </c>
      <c r="AC76" s="8" t="s">
        <v>27</v>
      </c>
      <c r="AD76" s="8" t="s">
        <v>28</v>
      </c>
      <c r="AE76" s="8" t="s">
        <v>29</v>
      </c>
      <c r="AF76" s="8" t="s">
        <v>30</v>
      </c>
      <c r="AG76" s="8" t="s">
        <v>31</v>
      </c>
      <c r="AH76" s="8" t="s">
        <v>32</v>
      </c>
      <c r="AI76" s="8" t="s">
        <v>33</v>
      </c>
      <c r="AJ76" s="8" t="s">
        <v>34</v>
      </c>
      <c r="AK7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8C820-E06D-48AC-8E57-EA0B3257FA6A}">
  <dimension ref="A1:BU77"/>
  <sheetViews>
    <sheetView tabSelected="1" zoomScale="70" zoomScaleNormal="70" workbookViewId="0">
      <selection activeCell="AL20" sqref="AG20:AL20"/>
    </sheetView>
  </sheetViews>
  <sheetFormatPr baseColWidth="10" defaultRowHeight="15" x14ac:dyDescent="0.25"/>
  <sheetData>
    <row r="1" spans="1:73" x14ac:dyDescent="0.25">
      <c r="A1" s="3"/>
      <c r="B1" s="15" t="s">
        <v>35</v>
      </c>
      <c r="C1" s="15" t="s">
        <v>36</v>
      </c>
      <c r="D1" s="15" t="s">
        <v>37</v>
      </c>
      <c r="E1" s="15" t="s">
        <v>38</v>
      </c>
      <c r="F1" s="15" t="s">
        <v>39</v>
      </c>
      <c r="G1" s="15" t="s">
        <v>40</v>
      </c>
      <c r="H1" s="15" t="s">
        <v>41</v>
      </c>
      <c r="I1" s="15" t="s">
        <v>42</v>
      </c>
      <c r="J1" s="15" t="s">
        <v>43</v>
      </c>
      <c r="K1" s="15" t="s">
        <v>44</v>
      </c>
      <c r="L1" s="15" t="s">
        <v>45</v>
      </c>
      <c r="M1" s="15" t="s">
        <v>46</v>
      </c>
      <c r="N1" s="15" t="s">
        <v>47</v>
      </c>
      <c r="O1" s="15" t="s">
        <v>48</v>
      </c>
      <c r="P1" s="15" t="s">
        <v>49</v>
      </c>
      <c r="Q1" s="15" t="s">
        <v>50</v>
      </c>
      <c r="R1" s="15" t="s">
        <v>51</v>
      </c>
      <c r="S1" s="15" t="s">
        <v>52</v>
      </c>
      <c r="T1" s="15" t="s">
        <v>53</v>
      </c>
      <c r="U1" s="15" t="s">
        <v>54</v>
      </c>
      <c r="V1" s="15" t="s">
        <v>55</v>
      </c>
      <c r="W1" s="15" t="s">
        <v>56</v>
      </c>
      <c r="X1" s="15" t="s">
        <v>57</v>
      </c>
      <c r="Y1" s="15" t="s">
        <v>58</v>
      </c>
      <c r="Z1" s="15" t="s">
        <v>59</v>
      </c>
      <c r="AA1" s="15" t="s">
        <v>60</v>
      </c>
      <c r="AB1" s="15" t="s">
        <v>61</v>
      </c>
      <c r="AC1" s="15" t="s">
        <v>62</v>
      </c>
      <c r="AD1" s="15" t="s">
        <v>63</v>
      </c>
      <c r="AE1" s="15" t="s">
        <v>64</v>
      </c>
      <c r="AF1" s="15" t="s">
        <v>65</v>
      </c>
      <c r="AG1" s="15" t="s">
        <v>66</v>
      </c>
      <c r="AH1" s="15" t="s">
        <v>67</v>
      </c>
      <c r="AI1" s="15" t="s">
        <v>68</v>
      </c>
      <c r="AJ1" s="15" t="s">
        <v>69</v>
      </c>
      <c r="AK1" s="13"/>
      <c r="AL1" s="3"/>
      <c r="AM1" s="15" t="s">
        <v>35</v>
      </c>
      <c r="AN1" s="15" t="s">
        <v>36</v>
      </c>
      <c r="AO1" s="15" t="s">
        <v>37</v>
      </c>
      <c r="AP1" s="15" t="s">
        <v>38</v>
      </c>
      <c r="AQ1" s="15" t="s">
        <v>39</v>
      </c>
      <c r="AR1" s="15" t="s">
        <v>40</v>
      </c>
      <c r="AS1" s="15" t="s">
        <v>41</v>
      </c>
      <c r="AT1" s="15" t="s">
        <v>42</v>
      </c>
      <c r="AU1" s="15" t="s">
        <v>43</v>
      </c>
      <c r="AV1" s="15" t="s">
        <v>44</v>
      </c>
      <c r="AW1" s="15" t="s">
        <v>45</v>
      </c>
      <c r="AX1" s="15" t="s">
        <v>46</v>
      </c>
      <c r="AY1" s="15" t="s">
        <v>47</v>
      </c>
      <c r="AZ1" s="15" t="s">
        <v>48</v>
      </c>
      <c r="BA1" s="15" t="s">
        <v>49</v>
      </c>
      <c r="BB1" s="15" t="s">
        <v>50</v>
      </c>
      <c r="BC1" s="15" t="s">
        <v>51</v>
      </c>
      <c r="BD1" s="15" t="s">
        <v>52</v>
      </c>
      <c r="BE1" s="15" t="s">
        <v>53</v>
      </c>
      <c r="BF1" s="15" t="s">
        <v>54</v>
      </c>
      <c r="BG1" s="15" t="s">
        <v>55</v>
      </c>
      <c r="BH1" s="15" t="s">
        <v>56</v>
      </c>
      <c r="BI1" s="15" t="s">
        <v>57</v>
      </c>
      <c r="BJ1" s="15" t="s">
        <v>58</v>
      </c>
      <c r="BK1" s="15" t="s">
        <v>59</v>
      </c>
      <c r="BL1" s="15" t="s">
        <v>60</v>
      </c>
      <c r="BM1" s="15" t="s">
        <v>61</v>
      </c>
      <c r="BN1" s="15" t="s">
        <v>62</v>
      </c>
      <c r="BO1" s="15" t="s">
        <v>63</v>
      </c>
      <c r="BP1" s="15" t="s">
        <v>64</v>
      </c>
      <c r="BQ1" s="15" t="s">
        <v>65</v>
      </c>
      <c r="BR1" s="15" t="s">
        <v>66</v>
      </c>
      <c r="BS1" s="15" t="s">
        <v>67</v>
      </c>
      <c r="BT1" s="15" t="s">
        <v>68</v>
      </c>
      <c r="BU1" s="15" t="s">
        <v>69</v>
      </c>
    </row>
    <row r="2" spans="1:73" x14ac:dyDescent="0.25">
      <c r="A2" s="14">
        <v>10003</v>
      </c>
      <c r="B2" s="6">
        <f>17*(1-0.07)*(1-0.013)+(15+19)*0.01</f>
        <v>15.944469999999999</v>
      </c>
      <c r="C2" s="6">
        <f>17*(1-0.07)*(0.013)+(15+19)*(1-0.01)</f>
        <v>33.86553</v>
      </c>
      <c r="D2" s="6">
        <v>0</v>
      </c>
      <c r="E2" s="6">
        <v>0</v>
      </c>
      <c r="F2" s="6">
        <v>0</v>
      </c>
      <c r="G2" s="16">
        <f>17*0.07*0.011</f>
        <v>1.3090000000000001E-2</v>
      </c>
      <c r="H2" s="16"/>
      <c r="I2" s="16"/>
      <c r="J2" s="16"/>
      <c r="K2" s="17">
        <f>17*0.07*(1-0.011)</f>
        <v>1.1769100000000001</v>
      </c>
      <c r="L2" s="17"/>
      <c r="M2" s="17"/>
      <c r="N2" s="17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L2" s="14">
        <v>10003</v>
      </c>
      <c r="AM2" s="6">
        <f>17*(1-0.07)*(1-0.013)+(15+19)*0.01</f>
        <v>15.944469999999999</v>
      </c>
      <c r="AN2" s="6">
        <f>17*(1-0.07)*(0.013)+(15+19)*(1-0.01)</f>
        <v>33.86553</v>
      </c>
      <c r="AO2" s="6">
        <v>0</v>
      </c>
      <c r="AP2" s="6">
        <v>0</v>
      </c>
      <c r="AQ2" s="6">
        <v>0</v>
      </c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</row>
    <row r="3" spans="1:73" x14ac:dyDescent="0.25">
      <c r="A3" s="14">
        <v>10012</v>
      </c>
      <c r="B3" s="6">
        <v>0</v>
      </c>
      <c r="C3" s="6">
        <f>17*(1-0.07)*(1-0.013)+(15+19)*0.01</f>
        <v>15.944469999999999</v>
      </c>
      <c r="D3" s="6">
        <f>17*(1-0.07)*(0.013)+(15+19)*(1-0.01)</f>
        <v>33.86553</v>
      </c>
      <c r="E3" s="6">
        <v>0</v>
      </c>
      <c r="F3" s="6">
        <v>0</v>
      </c>
      <c r="G3" s="16"/>
      <c r="H3" s="16">
        <f>17*0.07*0.011</f>
        <v>1.3090000000000001E-2</v>
      </c>
      <c r="I3" s="16"/>
      <c r="J3" s="16"/>
      <c r="K3" s="17"/>
      <c r="L3" s="17">
        <f>17*0.07*(1-0.011)</f>
        <v>1.1769100000000001</v>
      </c>
      <c r="M3" s="17"/>
      <c r="N3" s="17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L3" s="14">
        <v>10012</v>
      </c>
      <c r="AM3" s="6">
        <v>0</v>
      </c>
      <c r="AN3" s="6">
        <f>17*(1-0.07)*(1-0.013)+(15+19)*0.01</f>
        <v>15.944469999999999</v>
      </c>
      <c r="AO3" s="6">
        <f>17*(1-0.07)*(0.013)+(15+19)*(1-0.01)</f>
        <v>33.86553</v>
      </c>
      <c r="AP3" s="6">
        <v>0</v>
      </c>
      <c r="AQ3" s="6">
        <v>0</v>
      </c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</row>
    <row r="4" spans="1:73" x14ac:dyDescent="0.25">
      <c r="A4" s="14">
        <v>10021</v>
      </c>
      <c r="B4" s="6">
        <v>0</v>
      </c>
      <c r="C4" s="6">
        <v>0</v>
      </c>
      <c r="D4" s="6">
        <f>17*(1-0.07)*(1-0.013)+(15+19)*0.01</f>
        <v>15.944469999999999</v>
      </c>
      <c r="E4" s="6">
        <f>17*(1-0.07)*(0.013)+(15+19)*(1-0.01)</f>
        <v>33.86553</v>
      </c>
      <c r="F4" s="6"/>
      <c r="G4" s="16"/>
      <c r="H4" s="16"/>
      <c r="I4" s="16">
        <f>17*0.07*0.011</f>
        <v>1.3090000000000001E-2</v>
      </c>
      <c r="J4" s="16"/>
      <c r="K4" s="17"/>
      <c r="L4" s="17"/>
      <c r="M4" s="17">
        <f>17*0.07*(1-0.011)</f>
        <v>1.1769100000000001</v>
      </c>
      <c r="N4" s="17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L4" s="14">
        <v>10021</v>
      </c>
      <c r="AM4" s="6">
        <v>0</v>
      </c>
      <c r="AN4" s="6">
        <v>0</v>
      </c>
      <c r="AO4" s="6">
        <f>17*(1-0.07)*(1-0.013)+(15+19)*0.01</f>
        <v>15.944469999999999</v>
      </c>
      <c r="AP4" s="6">
        <f>17*(1-0.07)*(0.013)+(15+19)*(1-0.01)</f>
        <v>33.86553</v>
      </c>
      <c r="AQ4" s="6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</row>
    <row r="5" spans="1:73" x14ac:dyDescent="0.25">
      <c r="A5" s="14">
        <v>10030</v>
      </c>
      <c r="B5" s="6">
        <v>0</v>
      </c>
      <c r="C5" s="6">
        <v>0</v>
      </c>
      <c r="D5" s="6">
        <v>0</v>
      </c>
      <c r="E5" s="6">
        <f>17*(1-0.07)*(1-0.013)+(15+19)*0.01</f>
        <v>15.944469999999999</v>
      </c>
      <c r="F5" s="6">
        <f>17*(1-0.07)*(0.013)+(15+19)*(1-0.01)</f>
        <v>33.86553</v>
      </c>
      <c r="G5" s="16"/>
      <c r="H5" s="16"/>
      <c r="I5" s="16"/>
      <c r="J5" s="16">
        <f>17*0.07*0.011</f>
        <v>1.3090000000000001E-2</v>
      </c>
      <c r="K5" s="17"/>
      <c r="L5" s="17"/>
      <c r="M5" s="17"/>
      <c r="N5" s="17">
        <f>17*0.07*(1-0.011)</f>
        <v>1.1769100000000001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L5" s="14">
        <v>10030</v>
      </c>
      <c r="AM5" s="6">
        <v>0</v>
      </c>
      <c r="AN5" s="6">
        <v>0</v>
      </c>
      <c r="AO5" s="6">
        <v>0</v>
      </c>
      <c r="AP5" s="6">
        <f>17*(1-0.07)*(1-0.013)+(15+19)*0.01</f>
        <v>15.944469999999999</v>
      </c>
      <c r="AQ5" s="6">
        <f>17*(1-0.07)*(0.013)+(15+19)*(1-0.01)</f>
        <v>33.86553</v>
      </c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</row>
    <row r="6" spans="1:73" x14ac:dyDescent="0.25">
      <c r="A6" s="14">
        <v>10102</v>
      </c>
      <c r="B6" s="3"/>
      <c r="C6" s="3"/>
      <c r="D6" s="3"/>
      <c r="E6" s="3"/>
      <c r="F6" s="3"/>
      <c r="G6" s="6">
        <f>17*(1-0.07)*(1-0.013)+(15+19)*0.01</f>
        <v>15.944469999999999</v>
      </c>
      <c r="H6" s="6">
        <f>17*(1-0.07)*(0.013)+(15+19)*(1-0.01)</f>
        <v>33.86553</v>
      </c>
      <c r="I6" s="6">
        <v>0</v>
      </c>
      <c r="J6" s="6">
        <v>0</v>
      </c>
      <c r="K6" s="3"/>
      <c r="L6" s="3"/>
      <c r="M6" s="3"/>
      <c r="N6" s="3"/>
      <c r="O6" s="16">
        <f>17*0.07*0.011</f>
        <v>1.3090000000000001E-2</v>
      </c>
      <c r="P6" s="16"/>
      <c r="Q6" s="16"/>
      <c r="R6" s="17">
        <f>17*0.07*(1-0.011)</f>
        <v>1.1769100000000001</v>
      </c>
      <c r="S6" s="17"/>
      <c r="T6" s="17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L6" s="14">
        <v>10102</v>
      </c>
      <c r="AM6" s="3"/>
      <c r="AN6" s="3"/>
      <c r="AO6" s="3"/>
      <c r="AP6" s="3"/>
      <c r="AQ6" s="3"/>
      <c r="AR6" s="6">
        <f>17*(1-0.07)*(1-0.013)+(15+19)*0.01</f>
        <v>15.944469999999999</v>
      </c>
      <c r="AS6" s="6">
        <f>17*(1-0.07)*(0.013)+(15+19)*(1-0.01)</f>
        <v>33.86553</v>
      </c>
      <c r="AT6" s="6">
        <v>0</v>
      </c>
      <c r="AU6" s="6">
        <v>0</v>
      </c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</row>
    <row r="7" spans="1:73" x14ac:dyDescent="0.25">
      <c r="A7" s="14">
        <v>10111</v>
      </c>
      <c r="B7" s="3"/>
      <c r="C7" s="3"/>
      <c r="D7" s="3"/>
      <c r="E7" s="3"/>
      <c r="F7" s="3"/>
      <c r="G7" s="6">
        <v>0</v>
      </c>
      <c r="H7" s="6">
        <f>17*(1-0.07)*(1-0.013)+(15+19)*0.01</f>
        <v>15.944469999999999</v>
      </c>
      <c r="I7" s="6">
        <f>17*(1-0.07)*(0.013)+(15+19)*(1-0.01)</f>
        <v>33.86553</v>
      </c>
      <c r="J7" s="6">
        <v>0</v>
      </c>
      <c r="K7" s="3"/>
      <c r="L7" s="3"/>
      <c r="M7" s="3"/>
      <c r="N7" s="3"/>
      <c r="O7" s="16"/>
      <c r="P7" s="16">
        <f>17*0.07*0.011</f>
        <v>1.3090000000000001E-2</v>
      </c>
      <c r="Q7" s="16"/>
      <c r="R7" s="17"/>
      <c r="S7" s="17">
        <f>17*0.07*(1-0.011)</f>
        <v>1.1769100000000001</v>
      </c>
      <c r="T7" s="17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L7" s="14">
        <v>10111</v>
      </c>
      <c r="AM7" s="3"/>
      <c r="AN7" s="3"/>
      <c r="AO7" s="3"/>
      <c r="AP7" s="3"/>
      <c r="AQ7" s="3"/>
      <c r="AR7" s="6">
        <v>0</v>
      </c>
      <c r="AS7" s="6">
        <f>17*(1-0.07)*(1-0.013)+(15+19)*0.01</f>
        <v>15.944469999999999</v>
      </c>
      <c r="AT7" s="6">
        <f>17*(1-0.07)*(0.013)+(15+19)*(1-0.01)</f>
        <v>33.86553</v>
      </c>
      <c r="AU7" s="6">
        <v>0</v>
      </c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</row>
    <row r="8" spans="1:73" x14ac:dyDescent="0.25">
      <c r="A8" s="14">
        <v>10120</v>
      </c>
      <c r="B8" s="3"/>
      <c r="C8" s="3"/>
      <c r="D8" s="3"/>
      <c r="E8" s="3"/>
      <c r="F8" s="3"/>
      <c r="G8" s="6">
        <v>0</v>
      </c>
      <c r="H8" s="6">
        <v>0</v>
      </c>
      <c r="I8" s="6">
        <f>17*(1-0.07)*(1-0.013)+(15+19)*0.01</f>
        <v>15.944469999999999</v>
      </c>
      <c r="J8" s="6">
        <f>17*(1-0.07)*(0.013)+(15+19)*(1-0.01)</f>
        <v>33.86553</v>
      </c>
      <c r="K8" s="3"/>
      <c r="L8" s="3"/>
      <c r="M8" s="3"/>
      <c r="N8" s="3"/>
      <c r="O8" s="16"/>
      <c r="P8" s="16"/>
      <c r="Q8" s="16">
        <f>17*0.07*0.011</f>
        <v>1.3090000000000001E-2</v>
      </c>
      <c r="R8" s="17"/>
      <c r="S8" s="17"/>
      <c r="T8" s="17">
        <f>17*0.07*(1-0.011)</f>
        <v>1.1769100000000001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L8" s="14">
        <v>10120</v>
      </c>
      <c r="AM8" s="3"/>
      <c r="AN8" s="3"/>
      <c r="AO8" s="3"/>
      <c r="AP8" s="3"/>
      <c r="AQ8" s="3"/>
      <c r="AR8" s="6">
        <v>0</v>
      </c>
      <c r="AS8" s="6">
        <v>0</v>
      </c>
      <c r="AT8" s="6">
        <f>17*(1-0.07)*(1-0.013)+(15+19)*0.01</f>
        <v>15.944469999999999</v>
      </c>
      <c r="AU8" s="6">
        <f>17*(1-0.07)*(0.013)+(15+19)*(1-0.01)</f>
        <v>33.86553</v>
      </c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</row>
    <row r="9" spans="1:73" x14ac:dyDescent="0.25">
      <c r="A9" s="14">
        <v>11002</v>
      </c>
      <c r="B9" s="3"/>
      <c r="C9" s="3"/>
      <c r="D9" s="3"/>
      <c r="E9" s="3"/>
      <c r="F9" s="3"/>
      <c r="G9" s="3"/>
      <c r="H9" s="3"/>
      <c r="I9" s="3"/>
      <c r="J9" s="3"/>
      <c r="K9" s="6">
        <f>17*(1-0.07)*(1-0.013)+(15+19)*0.01</f>
        <v>15.944469999999999</v>
      </c>
      <c r="L9" s="6">
        <f>17*(1-0.07)*(0.013)+(15+19)*(1-0.01)</f>
        <v>33.86553</v>
      </c>
      <c r="M9" s="6">
        <v>0</v>
      </c>
      <c r="N9" s="6">
        <v>0</v>
      </c>
      <c r="O9" s="3"/>
      <c r="P9" s="3"/>
      <c r="Q9" s="3"/>
      <c r="R9" s="16">
        <f>17*0.07*0.011</f>
        <v>1.3090000000000001E-2</v>
      </c>
      <c r="S9" s="16"/>
      <c r="T9" s="16"/>
      <c r="U9" s="17">
        <f>17*0.07*(1-0.011)</f>
        <v>1.1769100000000001</v>
      </c>
      <c r="V9" s="17"/>
      <c r="W9" s="17"/>
      <c r="X9" s="18"/>
      <c r="Y9" s="18"/>
      <c r="Z9" s="18"/>
      <c r="AA9" s="3"/>
      <c r="AB9" s="3"/>
      <c r="AC9" s="3"/>
      <c r="AD9" s="3"/>
      <c r="AE9" s="3"/>
      <c r="AF9" s="3"/>
      <c r="AG9" s="3"/>
      <c r="AH9" s="3"/>
      <c r="AI9" s="3"/>
      <c r="AJ9" s="3"/>
      <c r="AL9" s="14">
        <v>11002</v>
      </c>
      <c r="AM9" s="3"/>
      <c r="AN9" s="3"/>
      <c r="AO9" s="3"/>
      <c r="AP9" s="3"/>
      <c r="AQ9" s="3"/>
      <c r="AR9" s="3"/>
      <c r="AS9" s="3"/>
      <c r="AT9" s="3"/>
      <c r="AU9" s="3"/>
      <c r="AV9" s="6">
        <f>17*(1-0.07)*(1-0.013)+(15+19)*0.01</f>
        <v>15.944469999999999</v>
      </c>
      <c r="AW9" s="6">
        <f>17*(1-0.07)*(0.013)+(15+19)*(1-0.01)</f>
        <v>33.86553</v>
      </c>
      <c r="AX9" s="6">
        <v>0</v>
      </c>
      <c r="AY9" s="6">
        <v>0</v>
      </c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</row>
    <row r="10" spans="1:73" x14ac:dyDescent="0.25">
      <c r="A10" s="14">
        <v>11011</v>
      </c>
      <c r="B10" s="3"/>
      <c r="C10" s="3"/>
      <c r="D10" s="3"/>
      <c r="E10" s="3"/>
      <c r="F10" s="3"/>
      <c r="G10" s="3"/>
      <c r="H10" s="3"/>
      <c r="I10" s="3"/>
      <c r="J10" s="3"/>
      <c r="K10" s="6">
        <v>0</v>
      </c>
      <c r="L10" s="6">
        <f>17*(1-0.07)*(1-0.013)+(15+19)*0.01</f>
        <v>15.944469999999999</v>
      </c>
      <c r="M10" s="6">
        <f>17*(1-0.07)*(0.013)+(15+19)*(1-0.01)</f>
        <v>33.86553</v>
      </c>
      <c r="N10" s="6">
        <v>0</v>
      </c>
      <c r="O10" s="3"/>
      <c r="P10" s="3"/>
      <c r="Q10" s="3"/>
      <c r="R10" s="16"/>
      <c r="S10" s="16">
        <f>17*0.07*0.011</f>
        <v>1.3090000000000001E-2</v>
      </c>
      <c r="T10" s="16"/>
      <c r="U10" s="17"/>
      <c r="V10" s="17">
        <f>17*0.07*(1-0.011)</f>
        <v>1.1769100000000001</v>
      </c>
      <c r="W10" s="17"/>
      <c r="X10" s="18"/>
      <c r="Y10" s="18"/>
      <c r="Z10" s="18"/>
      <c r="AA10" s="3"/>
      <c r="AB10" s="3"/>
      <c r="AC10" s="3"/>
      <c r="AD10" s="3"/>
      <c r="AE10" s="3"/>
      <c r="AF10" s="3"/>
      <c r="AG10" s="3"/>
      <c r="AH10" s="3"/>
      <c r="AI10" s="3"/>
      <c r="AJ10" s="3"/>
      <c r="AL10" s="14">
        <v>11011</v>
      </c>
      <c r="AM10" s="3"/>
      <c r="AN10" s="3"/>
      <c r="AO10" s="3"/>
      <c r="AP10" s="3"/>
      <c r="AQ10" s="3"/>
      <c r="AR10" s="3"/>
      <c r="AS10" s="3"/>
      <c r="AT10" s="3"/>
      <c r="AU10" s="3"/>
      <c r="AV10" s="6">
        <v>0</v>
      </c>
      <c r="AW10" s="6">
        <f>17*(1-0.07)*(1-0.013)+(15+19)*0.01</f>
        <v>15.944469999999999</v>
      </c>
      <c r="AX10" s="6">
        <f>17*(1-0.07)*(0.013)+(15+19)*(1-0.01)</f>
        <v>33.86553</v>
      </c>
      <c r="AY10" s="6">
        <v>0</v>
      </c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</row>
    <row r="11" spans="1:73" x14ac:dyDescent="0.25">
      <c r="A11" s="14">
        <v>11020</v>
      </c>
      <c r="B11" s="3"/>
      <c r="C11" s="3"/>
      <c r="D11" s="3"/>
      <c r="E11" s="3"/>
      <c r="F11" s="3"/>
      <c r="G11" s="3"/>
      <c r="H11" s="3"/>
      <c r="I11" s="3"/>
      <c r="J11" s="3"/>
      <c r="K11" s="6">
        <v>0</v>
      </c>
      <c r="L11" s="6">
        <v>0</v>
      </c>
      <c r="M11" s="6">
        <f>17*(1-0.07)*(1-0.013)+(15+19)*0.01</f>
        <v>15.944469999999999</v>
      </c>
      <c r="N11" s="6">
        <f>17*(1-0.07)*(0.013)+(15+19)*(1-0.01)</f>
        <v>33.86553</v>
      </c>
      <c r="O11" s="3"/>
      <c r="P11" s="3"/>
      <c r="Q11" s="3"/>
      <c r="R11" s="16"/>
      <c r="S11" s="16"/>
      <c r="T11" s="16">
        <f>17*0.07*0.011</f>
        <v>1.3090000000000001E-2</v>
      </c>
      <c r="U11" s="17"/>
      <c r="V11" s="17"/>
      <c r="W11" s="17">
        <f>17*0.07*(1-0.011)</f>
        <v>1.1769100000000001</v>
      </c>
      <c r="X11" s="18"/>
      <c r="Y11" s="18"/>
      <c r="Z11" s="18"/>
      <c r="AA11" s="3"/>
      <c r="AB11" s="3"/>
      <c r="AC11" s="3"/>
      <c r="AD11" s="3"/>
      <c r="AE11" s="3"/>
      <c r="AF11" s="3"/>
      <c r="AG11" s="3"/>
      <c r="AH11" s="3"/>
      <c r="AI11" s="3"/>
      <c r="AJ11" s="3"/>
      <c r="AL11" s="14">
        <v>11020</v>
      </c>
      <c r="AM11" s="3"/>
      <c r="AN11" s="3"/>
      <c r="AO11" s="3"/>
      <c r="AP11" s="3"/>
      <c r="AQ11" s="3"/>
      <c r="AR11" s="3"/>
      <c r="AS11" s="3"/>
      <c r="AT11" s="3"/>
      <c r="AU11" s="3"/>
      <c r="AV11" s="6">
        <v>0</v>
      </c>
      <c r="AW11" s="6">
        <v>0</v>
      </c>
      <c r="AX11" s="6">
        <f>17*(1-0.07)*(1-0.013)+(15+19)*0.01</f>
        <v>15.944469999999999</v>
      </c>
      <c r="AY11" s="6">
        <f>17*(1-0.07)*(0.013)+(15+19)*(1-0.01)</f>
        <v>33.86553</v>
      </c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</row>
    <row r="12" spans="1:73" x14ac:dyDescent="0.25">
      <c r="A12" s="14">
        <v>10201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6">
        <f>17*(1-0.07)*(1-0.013)+(15+19)*0.01</f>
        <v>15.944469999999999</v>
      </c>
      <c r="P12" s="6">
        <f>17*(1-0.07)*(0.013)+(15+19)*(1-0.01)</f>
        <v>33.86553</v>
      </c>
      <c r="Q12" s="6">
        <v>0</v>
      </c>
      <c r="R12" s="3"/>
      <c r="S12" s="3"/>
      <c r="T12" s="3"/>
      <c r="U12" s="3"/>
      <c r="V12" s="3"/>
      <c r="W12" s="3"/>
      <c r="X12" s="16">
        <f>17*0.07*0.011</f>
        <v>1.3090000000000001E-2</v>
      </c>
      <c r="Y12" s="16"/>
      <c r="Z12" s="17">
        <f>17*0.07*(1-0.011)</f>
        <v>1.1769100000000001</v>
      </c>
      <c r="AA12" s="17"/>
      <c r="AB12" s="3"/>
      <c r="AC12" s="3"/>
      <c r="AD12" s="3"/>
      <c r="AE12" s="3"/>
      <c r="AF12" s="3"/>
      <c r="AG12" s="3"/>
      <c r="AH12" s="3"/>
      <c r="AI12" s="3"/>
      <c r="AJ12" s="3"/>
      <c r="AL12" s="14">
        <v>10201</v>
      </c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6">
        <f>17*(1-0.07)*(1-0.013)+(15+19)*0.01</f>
        <v>15.944469999999999</v>
      </c>
      <c r="BA12" s="6">
        <f>17*(1-0.07)*(0.013)+(15+19)*(1-0.01)</f>
        <v>33.86553</v>
      </c>
      <c r="BB12" s="6">
        <v>0</v>
      </c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</row>
    <row r="13" spans="1:73" x14ac:dyDescent="0.25">
      <c r="A13" s="14">
        <v>10210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6">
        <v>0</v>
      </c>
      <c r="P13" s="6">
        <f>17*(1-0.07)*(1-0.013)+(15+19)*0.01</f>
        <v>15.944469999999999</v>
      </c>
      <c r="Q13" s="6">
        <f>17*(1-0.07)*(0.013)+(15+19)*(1-0.01)</f>
        <v>33.86553</v>
      </c>
      <c r="R13" s="3"/>
      <c r="S13" s="3"/>
      <c r="T13" s="3"/>
      <c r="U13" s="3"/>
      <c r="V13" s="3"/>
      <c r="W13" s="3"/>
      <c r="X13" s="16"/>
      <c r="Y13" s="16">
        <f>17*0.07*0.011</f>
        <v>1.3090000000000001E-2</v>
      </c>
      <c r="Z13" s="17"/>
      <c r="AA13" s="17">
        <f>17*0.07*(1-0.011)</f>
        <v>1.1769100000000001</v>
      </c>
      <c r="AB13" s="3"/>
      <c r="AC13" s="3"/>
      <c r="AD13" s="3"/>
      <c r="AE13" s="3"/>
      <c r="AF13" s="3"/>
      <c r="AG13" s="3"/>
      <c r="AH13" s="3"/>
      <c r="AI13" s="3"/>
      <c r="AJ13" s="3"/>
      <c r="AL13" s="14">
        <v>10210</v>
      </c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6">
        <v>0</v>
      </c>
      <c r="BA13" s="6">
        <f>17*(1-0.07)*(1-0.013)+(15+19)*0.01</f>
        <v>15.944469999999999</v>
      </c>
      <c r="BB13" s="6">
        <f>17*(1-0.07)*(0.013)+(15+19)*(1-0.01)</f>
        <v>33.86553</v>
      </c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</row>
    <row r="14" spans="1:73" x14ac:dyDescent="0.25">
      <c r="A14" s="14">
        <v>11101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6">
        <f>17*(1-0.07)*(1-0.013)+(15+19)*0.01</f>
        <v>15.944469999999999</v>
      </c>
      <c r="S14" s="6">
        <f>17*(1-0.07)*(0.013)+(15+19)*(1-0.01)</f>
        <v>33.86553</v>
      </c>
      <c r="T14" s="6">
        <v>0</v>
      </c>
      <c r="U14" s="3"/>
      <c r="V14" s="3"/>
      <c r="W14" s="3"/>
      <c r="X14" s="3"/>
      <c r="Y14" s="3"/>
      <c r="Z14" s="16">
        <f>17*0.07*0.011</f>
        <v>1.3090000000000001E-2</v>
      </c>
      <c r="AA14" s="16"/>
      <c r="AB14" s="3"/>
      <c r="AC14" s="3"/>
      <c r="AD14" s="3"/>
      <c r="AE14" s="3"/>
      <c r="AF14" s="3"/>
      <c r="AG14" s="3"/>
      <c r="AH14" s="3"/>
      <c r="AI14" s="3"/>
      <c r="AJ14" s="3"/>
      <c r="AL14" s="14">
        <v>11101</v>
      </c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6">
        <f>17*(1-0.07)*(1-0.013)+(15+19)*0.01</f>
        <v>15.944469999999999</v>
      </c>
      <c r="BD14" s="6">
        <f>17*(1-0.07)*(0.013)+(15+19)*(1-0.01)</f>
        <v>33.86553</v>
      </c>
      <c r="BE14" s="6">
        <v>0</v>
      </c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</row>
    <row r="15" spans="1:73" x14ac:dyDescent="0.25">
      <c r="A15" s="14">
        <v>11110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6">
        <v>0</v>
      </c>
      <c r="S15" s="6">
        <f>17*(1-0.07)*(1-0.013)+(15+19)*0.01</f>
        <v>15.944469999999999</v>
      </c>
      <c r="T15" s="6">
        <f>17*(1-0.07)*(0.013)+(15+19)*(1-0.01)</f>
        <v>33.86553</v>
      </c>
      <c r="U15" s="3"/>
      <c r="V15" s="3"/>
      <c r="W15" s="3"/>
      <c r="X15" s="3"/>
      <c r="Y15" s="3"/>
      <c r="Z15" s="16"/>
      <c r="AA15" s="16">
        <f>17*0.07*0.011</f>
        <v>1.3090000000000001E-2</v>
      </c>
      <c r="AB15" s="17">
        <f>17*0.07*(1-0.011)</f>
        <v>1.1769100000000001</v>
      </c>
      <c r="AC15" s="17"/>
      <c r="AD15" s="3"/>
      <c r="AE15" s="3"/>
      <c r="AF15" s="3"/>
      <c r="AG15" s="3"/>
      <c r="AH15" s="3"/>
      <c r="AI15" s="3"/>
      <c r="AJ15" s="3"/>
      <c r="AL15" s="14">
        <v>11110</v>
      </c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6">
        <v>0</v>
      </c>
      <c r="BD15" s="6">
        <f>17*(1-0.07)*(1-0.013)+(15+19)*0.01</f>
        <v>15.944469999999999</v>
      </c>
      <c r="BE15" s="6">
        <f>17*(1-0.07)*(0.013)+(15+19)*(1-0.01)</f>
        <v>33.86553</v>
      </c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</row>
    <row r="16" spans="1:73" x14ac:dyDescent="0.25">
      <c r="A16" s="14">
        <v>12001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6">
        <f>17*(1-0.07)*(1-0.013)+(15+19)*0.01</f>
        <v>15.944469999999999</v>
      </c>
      <c r="V16" s="6">
        <f>17*(1-0.07)*(0.013)+(15+19)*(1-0.01)</f>
        <v>33.86553</v>
      </c>
      <c r="W16" s="6">
        <v>0</v>
      </c>
      <c r="X16" s="3"/>
      <c r="Y16" s="3"/>
      <c r="Z16" s="3"/>
      <c r="AA16" s="3"/>
      <c r="AB16" s="17"/>
      <c r="AC16" s="17">
        <f>17*0.07*(1-0.011)</f>
        <v>1.1769100000000001</v>
      </c>
      <c r="AD16" s="3"/>
      <c r="AE16" s="3"/>
      <c r="AF16" s="3"/>
      <c r="AG16" s="3"/>
      <c r="AH16" s="3"/>
      <c r="AI16" s="3"/>
      <c r="AJ16" s="3"/>
      <c r="AL16" s="14">
        <v>12001</v>
      </c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6">
        <f>17*(1-0.07)*(1-0.013)+(15+19)*0.01</f>
        <v>15.944469999999999</v>
      </c>
      <c r="BG16" s="6">
        <f>17*(1-0.07)*(0.013)+(15+19)*(1-0.01)</f>
        <v>33.86553</v>
      </c>
      <c r="BH16" s="6">
        <v>0</v>
      </c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</row>
    <row r="17" spans="1:73" x14ac:dyDescent="0.25">
      <c r="A17" s="14">
        <v>12010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6">
        <v>0</v>
      </c>
      <c r="V17" s="6">
        <f>17*(1-0.07)*(1-0.013)+(15+19)*0.01</f>
        <v>15.944469999999999</v>
      </c>
      <c r="W17" s="6">
        <f>17*(1-0.07)*(0.013)+(15+19)*(1-0.01)</f>
        <v>33.86553</v>
      </c>
      <c r="X17" s="3"/>
      <c r="Y17" s="3"/>
      <c r="Z17" s="3"/>
      <c r="AA17" s="3"/>
      <c r="AB17" s="16">
        <f>17*0.07*0.011</f>
        <v>1.3090000000000001E-2</v>
      </c>
      <c r="AC17" s="16"/>
      <c r="AD17" s="17">
        <f>17*0.07*(1-0.011)</f>
        <v>1.1769100000000001</v>
      </c>
      <c r="AE17" s="17"/>
      <c r="AF17" s="3"/>
      <c r="AG17" s="3"/>
      <c r="AH17" s="3"/>
      <c r="AI17" s="3"/>
      <c r="AJ17" s="3"/>
      <c r="AL17" s="14">
        <v>12010</v>
      </c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6">
        <v>0</v>
      </c>
      <c r="BG17" s="6">
        <f>17*(1-0.07)*(1-0.013)+(15+19)*0.01</f>
        <v>15.944469999999999</v>
      </c>
      <c r="BH17" s="6">
        <f>17*(1-0.07)*(0.013)+(15+19)*(1-0.01)</f>
        <v>33.86553</v>
      </c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</row>
    <row r="18" spans="1:73" x14ac:dyDescent="0.25">
      <c r="A18" s="14">
        <v>10300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6">
        <f>17*(1-0.07)*(1-0.013)+(15+19)*0.01</f>
        <v>15.944469999999999</v>
      </c>
      <c r="Y18" s="6">
        <f>17*(1-0.07)*(0.013)+(15+19)*(1-0.01)</f>
        <v>33.86553</v>
      </c>
      <c r="Z18" s="3"/>
      <c r="AA18" s="3"/>
      <c r="AB18" s="16"/>
      <c r="AC18" s="16">
        <f>17*0.07*0.011</f>
        <v>1.3090000000000001E-2</v>
      </c>
      <c r="AD18" s="17"/>
      <c r="AE18" s="17">
        <f>17*0.07*(1-0.011)</f>
        <v>1.1769100000000001</v>
      </c>
      <c r="AF18" s="3"/>
      <c r="AG18" s="3"/>
      <c r="AH18" s="3"/>
      <c r="AI18" s="3"/>
      <c r="AJ18" s="3"/>
      <c r="AL18" s="14">
        <v>10300</v>
      </c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6">
        <f>17*(1-0.07)*(1-0.013)+(15+19)*0.01</f>
        <v>15.944469999999999</v>
      </c>
      <c r="BJ18" s="6">
        <f>17*(1-0.07)*(0.013)+(15+19)*(1-0.01)</f>
        <v>33.86553</v>
      </c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</row>
    <row r="19" spans="1:73" x14ac:dyDescent="0.25">
      <c r="A19" s="14">
        <v>11200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6">
        <f>17*(1-0.07)*(1-0.013)+(15+19)*0.01</f>
        <v>15.944469999999999</v>
      </c>
      <c r="AA19" s="6">
        <f>17*(1-0.07)*(0.013)+(15+19)*(1-0.01)</f>
        <v>33.86553</v>
      </c>
      <c r="AB19" s="3"/>
      <c r="AC19" s="3"/>
      <c r="AD19" s="3"/>
      <c r="AE19" s="3"/>
      <c r="AF19" s="16">
        <f>17*0.07*0.011</f>
        <v>1.3090000000000001E-2</v>
      </c>
      <c r="AG19" s="3"/>
      <c r="AH19" s="3"/>
      <c r="AI19" s="3"/>
      <c r="AJ19" s="3"/>
      <c r="AL19" s="14">
        <v>11200</v>
      </c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6">
        <f>17*(1-0.07)*(1-0.013)+(15+19)*0.01</f>
        <v>15.944469999999999</v>
      </c>
      <c r="BL19" s="6">
        <f>17*(1-0.07)*(0.013)+(15+19)*(1-0.01)</f>
        <v>33.86553</v>
      </c>
      <c r="BM19" s="3"/>
      <c r="BN19" s="3"/>
      <c r="BO19" s="3"/>
      <c r="BP19" s="3"/>
      <c r="BQ19" s="3"/>
      <c r="BR19" s="3"/>
      <c r="BS19" s="3"/>
      <c r="BT19" s="3"/>
      <c r="BU19" s="3"/>
    </row>
    <row r="20" spans="1:73" x14ac:dyDescent="0.25">
      <c r="A20" s="14">
        <v>12100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6">
        <f>17*(1-0.07)*(1-0.013)+(15+19)*0.01</f>
        <v>15.944469999999999</v>
      </c>
      <c r="AC20" s="6">
        <f>17*(1-0.07)*(0.013)+(15+19)*(1-0.01)</f>
        <v>33.86553</v>
      </c>
      <c r="AD20" s="3"/>
      <c r="AE20" s="3"/>
      <c r="AF20" s="3"/>
      <c r="AG20" s="16">
        <f>17*0.07*0.011</f>
        <v>1.3090000000000001E-2</v>
      </c>
      <c r="AH20" s="3"/>
      <c r="AI20" s="3"/>
      <c r="AJ20" s="3"/>
      <c r="AL20" s="14">
        <v>12100</v>
      </c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6">
        <f>17*(1-0.07)*(1-0.013)+(15+19)*0.01</f>
        <v>15.944469999999999</v>
      </c>
      <c r="BN20" s="6">
        <f>17*(1-0.07)*(0.013)+(15+19)*(1-0.01)</f>
        <v>33.86553</v>
      </c>
      <c r="BO20" s="3"/>
      <c r="BP20" s="3"/>
      <c r="BQ20" s="3"/>
      <c r="BR20" s="3"/>
      <c r="BS20" s="3"/>
      <c r="BT20" s="3"/>
      <c r="BU20" s="3"/>
    </row>
    <row r="21" spans="1:73" x14ac:dyDescent="0.25">
      <c r="A21" s="14">
        <v>13000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6">
        <f>17*(1-0.07)*(1-0.013)+(15+19)*0.01</f>
        <v>15.944469999999999</v>
      </c>
      <c r="AE21" s="6">
        <f>17*(1-0.07)*(0.013)+(15+19)*(1-0.01)</f>
        <v>33.86553</v>
      </c>
      <c r="AF21" s="3"/>
      <c r="AG21" s="3"/>
      <c r="AH21" s="3"/>
      <c r="AI21" s="3"/>
      <c r="AJ21" s="3"/>
      <c r="AL21" s="14">
        <v>13000</v>
      </c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6">
        <f>17*(1-0.07)*(1-0.013)+(15+19)*0.01</f>
        <v>15.944469999999999</v>
      </c>
      <c r="BP21" s="6">
        <f>17*(1-0.07)*(0.013)+(15+19)*(1-0.01)</f>
        <v>33.86553</v>
      </c>
      <c r="BQ21" s="3"/>
      <c r="BR21" s="3"/>
      <c r="BS21" s="3"/>
      <c r="BT21" s="3"/>
      <c r="BU21" s="3"/>
    </row>
    <row r="22" spans="1:73" x14ac:dyDescent="0.25">
      <c r="A22" s="8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73" x14ac:dyDescent="0.25">
      <c r="A23" s="8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73" x14ac:dyDescent="0.25">
      <c r="A24" s="8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73" x14ac:dyDescent="0.25">
      <c r="A25" s="8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73" x14ac:dyDescent="0.25">
      <c r="A26" s="8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73" x14ac:dyDescent="0.25">
      <c r="A27" s="8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73" x14ac:dyDescent="0.25">
      <c r="A28" s="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73" x14ac:dyDescent="0.25">
      <c r="A29" s="8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73" x14ac:dyDescent="0.25">
      <c r="A30" s="8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73" x14ac:dyDescent="0.25">
      <c r="A31" s="8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73" x14ac:dyDescent="0.25">
      <c r="A32" s="8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8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5">
      <c r="A34" s="8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A35" s="8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8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42" spans="1:36" x14ac:dyDescent="0.25">
      <c r="B42" s="8" t="s">
        <v>35</v>
      </c>
      <c r="C42" s="8" t="s">
        <v>36</v>
      </c>
      <c r="D42" s="8" t="s">
        <v>37</v>
      </c>
      <c r="E42" s="8" t="s">
        <v>38</v>
      </c>
      <c r="F42" s="8" t="s">
        <v>39</v>
      </c>
      <c r="G42" s="8" t="s">
        <v>40</v>
      </c>
      <c r="H42" s="8" t="s">
        <v>41</v>
      </c>
      <c r="I42" s="8" t="s">
        <v>42</v>
      </c>
      <c r="J42" s="8" t="s">
        <v>43</v>
      </c>
      <c r="K42" s="8" t="s">
        <v>44</v>
      </c>
      <c r="L42" s="8" t="s">
        <v>45</v>
      </c>
      <c r="M42" s="8" t="s">
        <v>46</v>
      </c>
      <c r="N42" s="8" t="s">
        <v>47</v>
      </c>
      <c r="O42" s="8" t="s">
        <v>48</v>
      </c>
      <c r="P42" s="8" t="s">
        <v>49</v>
      </c>
      <c r="Q42" s="8" t="s">
        <v>50</v>
      </c>
      <c r="R42" s="8" t="s">
        <v>51</v>
      </c>
      <c r="S42" s="8" t="s">
        <v>52</v>
      </c>
      <c r="T42" s="8" t="s">
        <v>53</v>
      </c>
      <c r="U42" s="8" t="s">
        <v>54</v>
      </c>
      <c r="V42" s="8" t="s">
        <v>55</v>
      </c>
      <c r="W42" s="8" t="s">
        <v>56</v>
      </c>
      <c r="X42" s="8" t="s">
        <v>57</v>
      </c>
      <c r="Y42" s="8" t="s">
        <v>58</v>
      </c>
      <c r="Z42" s="8" t="s">
        <v>59</v>
      </c>
      <c r="AA42" s="8" t="s">
        <v>60</v>
      </c>
      <c r="AB42" s="8" t="s">
        <v>61</v>
      </c>
      <c r="AC42" s="8" t="s">
        <v>62</v>
      </c>
      <c r="AD42" s="8" t="s">
        <v>63</v>
      </c>
      <c r="AE42" s="8" t="s">
        <v>64</v>
      </c>
      <c r="AF42" s="8" t="s">
        <v>65</v>
      </c>
      <c r="AG42" s="8" t="s">
        <v>66</v>
      </c>
      <c r="AH42" s="8" t="s">
        <v>67</v>
      </c>
      <c r="AI42" s="8" t="s">
        <v>68</v>
      </c>
      <c r="AJ42" s="8" t="s">
        <v>69</v>
      </c>
    </row>
    <row r="43" spans="1:36" x14ac:dyDescent="0.25">
      <c r="A43" s="8" t="s">
        <v>0</v>
      </c>
      <c r="B43">
        <v>15.944470000000001</v>
      </c>
      <c r="C43">
        <v>33.86553</v>
      </c>
      <c r="D43">
        <v>0</v>
      </c>
      <c r="E43">
        <v>0</v>
      </c>
      <c r="F43">
        <v>0</v>
      </c>
      <c r="G43">
        <v>1.1769099999999999</v>
      </c>
      <c r="H43">
        <v>0</v>
      </c>
      <c r="I43">
        <v>0</v>
      </c>
      <c r="J43">
        <v>0</v>
      </c>
      <c r="K43">
        <v>1.3089999999999999E-2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A44" s="8" t="s">
        <v>1</v>
      </c>
      <c r="B44">
        <v>0</v>
      </c>
      <c r="C44">
        <v>15.944470000000001</v>
      </c>
      <c r="D44">
        <v>33.86553</v>
      </c>
      <c r="E44">
        <v>0</v>
      </c>
      <c r="F44">
        <v>0</v>
      </c>
      <c r="G44">
        <v>0</v>
      </c>
      <c r="H44">
        <v>1.1769099999999999</v>
      </c>
      <c r="I44">
        <v>0</v>
      </c>
      <c r="J44">
        <v>0</v>
      </c>
      <c r="K44">
        <v>0</v>
      </c>
      <c r="L44">
        <v>1.3089999999999999E-2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A45" s="8" t="s">
        <v>2</v>
      </c>
      <c r="B45">
        <v>0</v>
      </c>
      <c r="C45">
        <v>0</v>
      </c>
      <c r="D45">
        <v>15.944470000000001</v>
      </c>
      <c r="E45">
        <v>33.86553</v>
      </c>
      <c r="F45">
        <v>0</v>
      </c>
      <c r="G45">
        <v>0</v>
      </c>
      <c r="H45">
        <v>0</v>
      </c>
      <c r="I45">
        <v>1.1769099999999999</v>
      </c>
      <c r="J45">
        <v>0</v>
      </c>
      <c r="K45">
        <v>0</v>
      </c>
      <c r="L45">
        <v>0</v>
      </c>
      <c r="M45">
        <v>1.3089999999999999E-2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8" t="s">
        <v>3</v>
      </c>
      <c r="B46">
        <v>0</v>
      </c>
      <c r="C46">
        <v>0</v>
      </c>
      <c r="D46">
        <v>0</v>
      </c>
      <c r="E46">
        <v>15.944470000000001</v>
      </c>
      <c r="F46">
        <v>33.86553</v>
      </c>
      <c r="G46">
        <v>0</v>
      </c>
      <c r="H46">
        <v>0</v>
      </c>
      <c r="I46">
        <v>0</v>
      </c>
      <c r="J46">
        <v>1.1769099999999999</v>
      </c>
      <c r="K46">
        <v>0</v>
      </c>
      <c r="L46">
        <v>0</v>
      </c>
      <c r="M46">
        <v>0</v>
      </c>
      <c r="N46">
        <v>1.3089999999999999E-2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A47" s="8" t="s">
        <v>4</v>
      </c>
      <c r="B47">
        <v>0</v>
      </c>
      <c r="C47">
        <v>0</v>
      </c>
      <c r="D47">
        <v>0</v>
      </c>
      <c r="E47">
        <v>0</v>
      </c>
      <c r="F47">
        <v>0</v>
      </c>
      <c r="G47">
        <v>15.944470000000001</v>
      </c>
      <c r="H47">
        <v>33.86553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1.1769099999999999</v>
      </c>
      <c r="P47">
        <v>0</v>
      </c>
      <c r="Q47">
        <v>0</v>
      </c>
      <c r="R47">
        <v>1.3089999999999999E-2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 s="8" t="s">
        <v>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15.944470000000001</v>
      </c>
      <c r="I48">
        <v>33.86553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1.1769099999999999</v>
      </c>
      <c r="Q48">
        <v>0</v>
      </c>
      <c r="R48">
        <v>0</v>
      </c>
      <c r="S48">
        <v>1.3089999999999999E-2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8" t="s">
        <v>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15.944470000000001</v>
      </c>
      <c r="J49">
        <v>33.86553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1.1769099999999999</v>
      </c>
      <c r="R49">
        <v>0</v>
      </c>
      <c r="S49">
        <v>0</v>
      </c>
      <c r="T49">
        <v>1.3089999999999999E-2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5">
      <c r="A50" s="8" t="s">
        <v>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15.944470000000001</v>
      </c>
      <c r="L50">
        <v>33.86553</v>
      </c>
      <c r="M50">
        <v>0</v>
      </c>
      <c r="N50">
        <v>0</v>
      </c>
      <c r="O50">
        <v>0</v>
      </c>
      <c r="P50">
        <v>0</v>
      </c>
      <c r="Q50">
        <v>0</v>
      </c>
      <c r="R50">
        <v>1.1769099999999999</v>
      </c>
      <c r="S50">
        <v>0</v>
      </c>
      <c r="T50">
        <v>0</v>
      </c>
      <c r="U50">
        <v>1.3089999999999999E-2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A51" s="8" t="s">
        <v>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15.944470000000001</v>
      </c>
      <c r="M51">
        <v>33.86553</v>
      </c>
      <c r="N51">
        <v>0</v>
      </c>
      <c r="O51">
        <v>0</v>
      </c>
      <c r="P51">
        <v>0</v>
      </c>
      <c r="Q51">
        <v>0</v>
      </c>
      <c r="R51">
        <v>0</v>
      </c>
      <c r="S51">
        <v>1.1769099999999999</v>
      </c>
      <c r="T51">
        <v>0</v>
      </c>
      <c r="U51">
        <v>0</v>
      </c>
      <c r="V51">
        <v>1.3089999999999999E-2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A52" s="8" t="s">
        <v>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15.944470000000001</v>
      </c>
      <c r="N52">
        <v>33.86553</v>
      </c>
      <c r="O52">
        <v>0</v>
      </c>
      <c r="P52">
        <v>0</v>
      </c>
      <c r="Q52">
        <v>0</v>
      </c>
      <c r="R52">
        <v>0</v>
      </c>
      <c r="S52">
        <v>0</v>
      </c>
      <c r="T52">
        <v>1.1769099999999999</v>
      </c>
      <c r="U52">
        <v>0</v>
      </c>
      <c r="V52">
        <v>0</v>
      </c>
      <c r="W52">
        <v>1.3089999999999999E-2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8" t="s">
        <v>10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15.944470000000001</v>
      </c>
      <c r="P53">
        <v>33.86553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1.1769099999999999</v>
      </c>
      <c r="Y53">
        <v>0</v>
      </c>
      <c r="Z53">
        <v>1.3089999999999999E-2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 x14ac:dyDescent="0.25">
      <c r="A54" s="8" t="s">
        <v>11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15.944470000000001</v>
      </c>
      <c r="Q54">
        <v>33.86553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1.1769099999999999</v>
      </c>
      <c r="Z54">
        <v>0</v>
      </c>
      <c r="AA54">
        <v>1.3089999999999999E-2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 x14ac:dyDescent="0.25">
      <c r="A55" s="8" t="s">
        <v>12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15.944470000000001</v>
      </c>
      <c r="S55">
        <v>33.86553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1.1769099999999999</v>
      </c>
      <c r="AA55">
        <v>0</v>
      </c>
      <c r="AB55">
        <v>1.3089999999999999E-2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25">
      <c r="A56" s="8" t="s">
        <v>13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15.944470000000001</v>
      </c>
      <c r="T56">
        <v>33.86553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1.1769099999999999</v>
      </c>
      <c r="AB56">
        <v>0</v>
      </c>
      <c r="AC56">
        <v>1.3089999999999999E-2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 x14ac:dyDescent="0.25">
      <c r="A57" s="8" t="s">
        <v>14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15.944470000000001</v>
      </c>
      <c r="V57">
        <v>33.86553</v>
      </c>
      <c r="W57">
        <v>0</v>
      </c>
      <c r="X57">
        <v>0</v>
      </c>
      <c r="Y57">
        <v>0</v>
      </c>
      <c r="Z57">
        <v>0</v>
      </c>
      <c r="AA57">
        <v>0</v>
      </c>
      <c r="AB57">
        <v>1.1769099999999999</v>
      </c>
      <c r="AC57">
        <v>0</v>
      </c>
      <c r="AD57">
        <v>1.3089999999999999E-2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5">
      <c r="A58" s="8" t="s">
        <v>15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15.944470000000001</v>
      </c>
      <c r="W58">
        <v>33.86553</v>
      </c>
      <c r="X58">
        <v>0</v>
      </c>
      <c r="Y58">
        <v>0</v>
      </c>
      <c r="Z58">
        <v>0</v>
      </c>
      <c r="AA58">
        <v>0</v>
      </c>
      <c r="AB58">
        <v>0</v>
      </c>
      <c r="AC58">
        <v>1.1769099999999999</v>
      </c>
      <c r="AD58">
        <v>0</v>
      </c>
      <c r="AE58">
        <v>1.3089999999999999E-2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 x14ac:dyDescent="0.25">
      <c r="A59" s="8" t="s">
        <v>16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15.944470000000001</v>
      </c>
      <c r="Y59">
        <v>33.86553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1.1769099999999999</v>
      </c>
      <c r="AG59">
        <v>1.3089999999999999E-2</v>
      </c>
      <c r="AH59">
        <v>0</v>
      </c>
      <c r="AI59">
        <v>0</v>
      </c>
      <c r="AJ59">
        <v>0</v>
      </c>
    </row>
    <row r="60" spans="1:36" x14ac:dyDescent="0.25">
      <c r="A60" s="8" t="s">
        <v>17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15.944470000000001</v>
      </c>
      <c r="AA60">
        <v>33.86553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1.1769099999999999</v>
      </c>
      <c r="AH60">
        <v>1.3089999999999999E-2</v>
      </c>
      <c r="AI60">
        <v>0</v>
      </c>
      <c r="AJ60">
        <v>0</v>
      </c>
    </row>
    <row r="61" spans="1:36" x14ac:dyDescent="0.25">
      <c r="A61" s="8" t="s">
        <v>18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15.944470000000001</v>
      </c>
      <c r="AC61">
        <v>33.86553</v>
      </c>
      <c r="AD61">
        <v>0</v>
      </c>
      <c r="AE61">
        <v>0</v>
      </c>
      <c r="AF61">
        <v>0</v>
      </c>
      <c r="AG61">
        <v>0</v>
      </c>
      <c r="AH61">
        <v>1.1769099999999999</v>
      </c>
      <c r="AI61">
        <v>1.3089999999999999E-2</v>
      </c>
      <c r="AJ61">
        <v>0</v>
      </c>
    </row>
    <row r="62" spans="1:36" x14ac:dyDescent="0.25">
      <c r="A62" s="8" t="s">
        <v>19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15.944470000000001</v>
      </c>
      <c r="AE62">
        <v>33.86553</v>
      </c>
      <c r="AF62">
        <v>0</v>
      </c>
      <c r="AG62">
        <v>0</v>
      </c>
      <c r="AH62">
        <v>0</v>
      </c>
      <c r="AI62">
        <v>1.1769099999999999</v>
      </c>
      <c r="AJ62">
        <v>1.3089999999999999E-2</v>
      </c>
    </row>
    <row r="63" spans="1:36" x14ac:dyDescent="0.25">
      <c r="A63" s="8" t="s">
        <v>20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25">
      <c r="A64" s="8" t="s">
        <v>21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 x14ac:dyDescent="0.25">
      <c r="A65" s="8" t="s">
        <v>22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5">
      <c r="A66" s="8" t="s">
        <v>23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 x14ac:dyDescent="0.25">
      <c r="A67" s="8" t="s">
        <v>24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x14ac:dyDescent="0.25">
      <c r="A68" s="8" t="s">
        <v>25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 x14ac:dyDescent="0.25">
      <c r="A69" s="8" t="s">
        <v>26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 x14ac:dyDescent="0.25">
      <c r="A70" s="8" t="s">
        <v>27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 x14ac:dyDescent="0.25">
      <c r="A71" s="8" t="s">
        <v>28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25">
      <c r="A72" s="8" t="s">
        <v>29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 x14ac:dyDescent="0.25">
      <c r="A73" s="8" t="s">
        <v>30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5">
      <c r="A74" s="8" t="s">
        <v>31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 x14ac:dyDescent="0.25">
      <c r="A75" s="8" t="s">
        <v>32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 x14ac:dyDescent="0.25">
      <c r="A76" s="8" t="s">
        <v>33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 x14ac:dyDescent="0.25">
      <c r="A77" s="8" t="s">
        <v>34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56610-732F-4527-96CB-1F0BA95EB7B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Raquel Fernández</cp:lastModifiedBy>
  <cp:revision/>
  <dcterms:created xsi:type="dcterms:W3CDTF">2019-02-21T19:15:38Z</dcterms:created>
  <dcterms:modified xsi:type="dcterms:W3CDTF">2019-04-02T13:47:53Z</dcterms:modified>
  <cp:category/>
  <cp:contentStatus/>
</cp:coreProperties>
</file>